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6050" windowHeight="7830" activeTab="6"/>
  </bookViews>
  <sheets>
    <sheet name="Sheet1" sheetId="5" r:id="rId1"/>
    <sheet name="config" sheetId="6" r:id="rId2"/>
    <sheet name="tblbackup" sheetId="244" r:id="rId3"/>
    <sheet name="tbl" sheetId="7" r:id="rId4"/>
    <sheet name="stg" sheetId="8" r:id="rId5"/>
    <sheet name="Sheet14" sheetId="256" r:id="rId6"/>
    <sheet name="timetable" sheetId="268" r:id="rId7"/>
  </sheets>
  <functionGroups builtInGroupCount="17"/>
  <calcPr calcId="144525"/>
</workbook>
</file>

<file path=xl/calcChain.xml><?xml version="1.0" encoding="utf-8"?>
<calcChain xmlns="http://schemas.openxmlformats.org/spreadsheetml/2006/main">
  <c r="I2" i="244" l="1"/>
  <c r="G7" i="8"/>
  <c r="F7" i="8"/>
  <c r="E7" i="8"/>
  <c r="A50" i="7"/>
  <c r="B50" i="7"/>
  <c r="C50" i="7"/>
  <c r="D50" i="7"/>
  <c r="E50" i="7"/>
  <c r="I50" i="7"/>
  <c r="A51" i="7"/>
  <c r="B51" i="7"/>
  <c r="C51" i="7"/>
  <c r="D51" i="7"/>
  <c r="E51" i="7"/>
  <c r="I51" i="7"/>
  <c r="A31" i="7"/>
  <c r="B31" i="7"/>
  <c r="C31" i="7"/>
  <c r="D31" i="7"/>
  <c r="E31" i="7"/>
  <c r="I31" i="7"/>
  <c r="A32" i="7"/>
  <c r="B32" i="7"/>
  <c r="C32" i="7"/>
  <c r="D32" i="7"/>
  <c r="E32" i="7"/>
  <c r="I32" i="7"/>
  <c r="A33" i="7"/>
  <c r="B33" i="7"/>
  <c r="C33" i="7"/>
  <c r="D33" i="7"/>
  <c r="E33" i="7"/>
  <c r="I33" i="7"/>
  <c r="A34" i="7"/>
  <c r="B34" i="7"/>
  <c r="C34" i="7"/>
  <c r="D34" i="7"/>
  <c r="E34" i="7"/>
  <c r="I34" i="7"/>
  <c r="A35" i="7"/>
  <c r="B35" i="7"/>
  <c r="C35" i="7"/>
  <c r="D35" i="7"/>
  <c r="E35" i="7"/>
  <c r="I35" i="7"/>
  <c r="A36" i="7"/>
  <c r="B36" i="7"/>
  <c r="C36" i="7"/>
  <c r="D36" i="7"/>
  <c r="E36" i="7"/>
  <c r="I36" i="7"/>
  <c r="A37" i="7"/>
  <c r="B37" i="7"/>
  <c r="C37" i="7"/>
  <c r="D37" i="7"/>
  <c r="E37" i="7"/>
  <c r="I37" i="7"/>
  <c r="A38" i="7"/>
  <c r="B38" i="7"/>
  <c r="C38" i="7"/>
  <c r="D38" i="7"/>
  <c r="E38" i="7"/>
  <c r="I38" i="7"/>
  <c r="A39" i="7"/>
  <c r="B39" i="7"/>
  <c r="C39" i="7"/>
  <c r="D39" i="7"/>
  <c r="E39" i="7"/>
  <c r="I39" i="7"/>
  <c r="A40" i="7"/>
  <c r="B40" i="7"/>
  <c r="C40" i="7"/>
  <c r="D40" i="7"/>
  <c r="E40" i="7"/>
  <c r="I40" i="7"/>
  <c r="A41" i="7"/>
  <c r="B41" i="7"/>
  <c r="C41" i="7"/>
  <c r="D41" i="7"/>
  <c r="E41" i="7"/>
  <c r="I41" i="7"/>
  <c r="A42" i="7"/>
  <c r="B42" i="7"/>
  <c r="C42" i="7"/>
  <c r="D42" i="7"/>
  <c r="E42" i="7"/>
  <c r="I42" i="7"/>
  <c r="A43" i="7"/>
  <c r="B43" i="7"/>
  <c r="C43" i="7"/>
  <c r="D43" i="7"/>
  <c r="E43" i="7"/>
  <c r="I43" i="7"/>
  <c r="A44" i="7"/>
  <c r="B44" i="7"/>
  <c r="C44" i="7"/>
  <c r="D44" i="7"/>
  <c r="E44" i="7"/>
  <c r="I44" i="7"/>
  <c r="A45" i="7"/>
  <c r="B45" i="7"/>
  <c r="C45" i="7"/>
  <c r="D45" i="7"/>
  <c r="E45" i="7"/>
  <c r="I45" i="7"/>
  <c r="A46" i="7"/>
  <c r="B46" i="7"/>
  <c r="C46" i="7"/>
  <c r="D46" i="7"/>
  <c r="E46" i="7"/>
  <c r="I46" i="7"/>
  <c r="A47" i="7"/>
  <c r="B47" i="7"/>
  <c r="C47" i="7"/>
  <c r="D47" i="7"/>
  <c r="E47" i="7"/>
  <c r="I47" i="7"/>
  <c r="A48" i="7"/>
  <c r="B48" i="7"/>
  <c r="C48" i="7"/>
  <c r="D48" i="7"/>
  <c r="E48" i="7"/>
  <c r="I48" i="7"/>
  <c r="A49" i="7"/>
  <c r="B49" i="7"/>
  <c r="C49" i="7"/>
  <c r="D49" i="7"/>
  <c r="E49" i="7"/>
  <c r="I49" i="7"/>
  <c r="B30" i="7"/>
  <c r="E4" i="8"/>
  <c r="G4" i="8"/>
  <c r="F4" i="8" s="1"/>
  <c r="E5" i="8"/>
  <c r="G5" i="8"/>
  <c r="F5" i="8" s="1"/>
  <c r="E6" i="8"/>
  <c r="G6" i="8"/>
  <c r="F6" i="8" s="1"/>
  <c r="I30" i="7"/>
  <c r="E30" i="7"/>
  <c r="D30" i="7"/>
  <c r="C30" i="7"/>
  <c r="A30" i="7"/>
  <c r="I94" i="244"/>
  <c r="I93" i="244"/>
  <c r="I92" i="244"/>
  <c r="I91" i="244"/>
  <c r="I90" i="244"/>
  <c r="I89" i="244"/>
  <c r="I88" i="244"/>
  <c r="I87" i="244"/>
  <c r="I86" i="244"/>
  <c r="I85" i="244"/>
  <c r="I84" i="244"/>
  <c r="I83" i="244"/>
  <c r="I82" i="244"/>
  <c r="I81" i="244"/>
  <c r="I80" i="244"/>
  <c r="I79" i="244"/>
  <c r="I78" i="244"/>
  <c r="I77" i="244"/>
  <c r="I76" i="244"/>
  <c r="I75" i="244"/>
  <c r="I74" i="244"/>
  <c r="I73" i="244"/>
  <c r="I72" i="244"/>
  <c r="I71" i="244"/>
  <c r="I70" i="244"/>
  <c r="I69" i="244"/>
  <c r="I68" i="244"/>
  <c r="I67" i="244"/>
  <c r="I66" i="244"/>
  <c r="I65" i="244"/>
  <c r="I64" i="244"/>
  <c r="I63" i="244"/>
  <c r="I62" i="244"/>
  <c r="I61" i="244"/>
  <c r="I60" i="244"/>
  <c r="I59" i="244"/>
  <c r="I58" i="244"/>
  <c r="I57" i="244"/>
  <c r="I56" i="244"/>
  <c r="I55" i="244"/>
  <c r="I54" i="244"/>
  <c r="I53" i="244"/>
  <c r="I52" i="244"/>
  <c r="I51" i="244"/>
  <c r="I50" i="244"/>
  <c r="I49" i="244"/>
  <c r="I48" i="244"/>
  <c r="I47" i="244"/>
  <c r="I46" i="244"/>
  <c r="I45" i="244"/>
  <c r="I44" i="244"/>
  <c r="I43" i="244"/>
  <c r="I42" i="244"/>
  <c r="I41" i="244"/>
  <c r="I40" i="244"/>
  <c r="I39" i="244"/>
  <c r="I38" i="244"/>
  <c r="I37" i="244"/>
  <c r="I36" i="244"/>
  <c r="I35" i="244"/>
  <c r="I34" i="244"/>
  <c r="I33" i="244"/>
  <c r="I32" i="244"/>
  <c r="I31" i="244"/>
  <c r="I30" i="244"/>
  <c r="I29" i="244"/>
  <c r="I28" i="244"/>
  <c r="I27" i="244"/>
  <c r="I26" i="244"/>
  <c r="I25" i="244"/>
  <c r="I24" i="244"/>
  <c r="I23" i="244"/>
  <c r="I22" i="244"/>
  <c r="I21" i="244"/>
  <c r="I20" i="244"/>
  <c r="I19" i="244"/>
  <c r="I18" i="244"/>
  <c r="I17" i="244"/>
  <c r="I16" i="244"/>
  <c r="I15" i="244"/>
  <c r="I14" i="244"/>
  <c r="I13" i="244"/>
  <c r="I12" i="244"/>
  <c r="I11" i="244"/>
  <c r="I10" i="244"/>
  <c r="I9" i="244"/>
  <c r="I8" i="244"/>
  <c r="I7" i="244"/>
  <c r="I6" i="244"/>
  <c r="I5" i="244"/>
  <c r="I4" i="244"/>
  <c r="I3" i="244"/>
  <c r="I87" i="7" l="1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E10" i="8"/>
  <c r="G10" i="8"/>
  <c r="F10" i="8" s="1"/>
  <c r="I80" i="7"/>
  <c r="I81" i="7"/>
  <c r="I82" i="7"/>
  <c r="I83" i="7"/>
  <c r="I84" i="7"/>
  <c r="I85" i="7"/>
  <c r="I86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5" i="7"/>
  <c r="I4" i="7"/>
  <c r="I3" i="7"/>
  <c r="I2" i="7"/>
  <c r="E9" i="8"/>
  <c r="G9" i="8"/>
  <c r="F9" i="8" s="1"/>
  <c r="G2" i="8" l="1"/>
  <c r="E2" i="8"/>
  <c r="F2" i="8" s="1"/>
</calcChain>
</file>

<file path=xl/sharedStrings.xml><?xml version="1.0" encoding="utf-8"?>
<sst xmlns="http://schemas.openxmlformats.org/spreadsheetml/2006/main" count="1325" uniqueCount="283">
  <si>
    <t>INUWASI</t>
  </si>
  <si>
    <t>Peel the Apple</t>
  </si>
  <si>
    <t>FES☆TIVE</t>
  </si>
  <si>
    <t>MyDearDarlin'</t>
  </si>
  <si>
    <t>tbl_start</t>
  </si>
  <si>
    <t>tbl_end</t>
  </si>
  <si>
    <t>square_time</t>
  </si>
  <si>
    <t>square_width</t>
  </si>
  <si>
    <t>square_height</t>
  </si>
  <si>
    <t>time_axis_width</t>
  </si>
  <si>
    <t>time_axis_font</t>
  </si>
  <si>
    <t>group_margin</t>
  </si>
  <si>
    <t>group_font</t>
  </si>
  <si>
    <t>group_width</t>
  </si>
  <si>
    <t>group_width_per</t>
  </si>
  <si>
    <t>stage_font</t>
  </si>
  <si>
    <t>stage_height</t>
  </si>
  <si>
    <t>stage_margin</t>
  </si>
  <si>
    <t>stage_detail_top</t>
  </si>
  <si>
    <t>stage_interval</t>
  </si>
  <si>
    <t>stage_table_margin</t>
  </si>
  <si>
    <t>selected_margin_lr</t>
  </si>
  <si>
    <t>selected_margin_tb</t>
  </si>
  <si>
    <t>tbl_margin_bottom_ratio</t>
  </si>
  <si>
    <t>group_name</t>
  </si>
  <si>
    <t>stage_id</t>
  </si>
  <si>
    <t>start_time</t>
  </si>
  <si>
    <t>end_time</t>
  </si>
  <si>
    <t>stage_name</t>
  </si>
  <si>
    <t>color</t>
  </si>
  <si>
    <t>R</t>
  </si>
  <si>
    <t>G</t>
  </si>
  <si>
    <t>B</t>
  </si>
  <si>
    <t>stage_place</t>
  </si>
  <si>
    <t>C;ON</t>
  </si>
  <si>
    <t>のんふぃく！</t>
  </si>
  <si>
    <t>かすみ草とステラ</t>
  </si>
  <si>
    <t>Devil ANTHEM.</t>
  </si>
  <si>
    <t>NEO JAPONISM</t>
  </si>
  <si>
    <t>JamsCollection</t>
  </si>
  <si>
    <t>カラフルスクリーム</t>
  </si>
  <si>
    <t>手羽先センセーション</t>
  </si>
  <si>
    <t>キングサリ</t>
  </si>
  <si>
    <t>まねきケチャ</t>
  </si>
  <si>
    <t>12:45</t>
  </si>
  <si>
    <t>13:10</t>
  </si>
  <si>
    <t>13:35</t>
  </si>
  <si>
    <t>16:25</t>
  </si>
  <si>
    <t>16:50</t>
  </si>
  <si>
    <t>17:15</t>
  </si>
  <si>
    <t>17:40</t>
  </si>
  <si>
    <t>17:45</t>
  </si>
  <si>
    <t>18:10</t>
  </si>
  <si>
    <t>18:35</t>
  </si>
  <si>
    <t>19:00</t>
  </si>
  <si>
    <t>19:10</t>
  </si>
  <si>
    <t>19:35</t>
  </si>
  <si>
    <t>20:00</t>
  </si>
  <si>
    <t>11:55</t>
  </si>
  <si>
    <t>12:25</t>
  </si>
  <si>
    <t>12:50</t>
  </si>
  <si>
    <t>14:35</t>
  </si>
  <si>
    <t>15:00</t>
  </si>
  <si>
    <t>16:30</t>
  </si>
  <si>
    <t>17:20</t>
  </si>
  <si>
    <t>20:30</t>
  </si>
  <si>
    <t>11:10</t>
  </si>
  <si>
    <t>11:35</t>
  </si>
  <si>
    <t>12:00</t>
  </si>
  <si>
    <t>13:50</t>
  </si>
  <si>
    <t>14:15</t>
  </si>
  <si>
    <t>14:40</t>
  </si>
  <si>
    <t>15:15</t>
  </si>
  <si>
    <t>15:40</t>
  </si>
  <si>
    <t>16:05</t>
  </si>
  <si>
    <t>18:20</t>
  </si>
  <si>
    <t>18:45</t>
  </si>
  <si>
    <t>20:10</t>
  </si>
  <si>
    <t>11:45</t>
  </si>
  <si>
    <t>16:40</t>
  </si>
  <si>
    <t>17:10</t>
  </si>
  <si>
    <t>20:40</t>
  </si>
  <si>
    <t>stage_id</t>
    <phoneticPr fontId="1"/>
  </si>
  <si>
    <t>textbox_size_plus</t>
  </si>
  <si>
    <t>14</t>
  </si>
  <si>
    <t>time_axis_lineWeight</t>
  </si>
  <si>
    <t>0.5</t>
  </si>
  <si>
    <t>group_time_font</t>
  </si>
  <si>
    <t>4</t>
  </si>
  <si>
    <t>0.9</t>
  </si>
  <si>
    <t>6</t>
  </si>
  <si>
    <t>3</t>
  </si>
  <si>
    <t>5</t>
  </si>
  <si>
    <t>10</t>
  </si>
  <si>
    <t>0.4</t>
  </si>
  <si>
    <t>2</t>
    <phoneticPr fontId="1"/>
  </si>
  <si>
    <t>10</t>
    <phoneticPr fontId="1"/>
  </si>
  <si>
    <t>selected_line_weight</t>
    <phoneticPr fontId="1"/>
  </si>
  <si>
    <t>1.5</t>
    <phoneticPr fontId="1"/>
  </si>
  <si>
    <t>75</t>
    <phoneticPr fontId="1"/>
  </si>
  <si>
    <t>15</t>
    <phoneticPr fontId="1"/>
  </si>
  <si>
    <t>textbox_per</t>
  </si>
  <si>
    <t>tbl_id</t>
    <phoneticPr fontId="1"/>
  </si>
  <si>
    <t>hall_a</t>
    <phoneticPr fontId="1"/>
  </si>
  <si>
    <t>hall_a</t>
    <phoneticPr fontId="1"/>
  </si>
  <si>
    <t>ホールA</t>
  </si>
  <si>
    <t>ホールA</t>
    <phoneticPr fontId="1"/>
  </si>
  <si>
    <t>sp_start_time</t>
  </si>
  <si>
    <t>sp_end_time</t>
  </si>
  <si>
    <t>sp_place</t>
  </si>
  <si>
    <t>10:30</t>
  </si>
  <si>
    <t>10:45</t>
  </si>
  <si>
    <t>10:55</t>
  </si>
  <si>
    <t>ロビーA</t>
  </si>
  <si>
    <t>11:00</t>
  </si>
  <si>
    <t>12:10</t>
  </si>
  <si>
    <t>ロビーB</t>
  </si>
  <si>
    <t>ロビーC</t>
  </si>
  <si>
    <t>12:35</t>
  </si>
  <si>
    <t>13:00</t>
  </si>
  <si>
    <t>14:00</t>
  </si>
  <si>
    <t>13:25</t>
  </si>
  <si>
    <t>14:25</t>
  </si>
  <si>
    <t>15:25</t>
  </si>
  <si>
    <t>14:50</t>
  </si>
  <si>
    <t>15:50</t>
  </si>
  <si>
    <t>16:15</t>
  </si>
  <si>
    <t>17:35</t>
  </si>
  <si>
    <t>18:00</t>
  </si>
  <si>
    <t>18:25</t>
  </si>
  <si>
    <t>19:30</t>
  </si>
  <si>
    <t>21:40</t>
  </si>
  <si>
    <t>ホールB</t>
  </si>
  <si>
    <t>ai*ai</t>
  </si>
  <si>
    <t>Drug&amp;Drop</t>
  </si>
  <si>
    <t>斉藤優里 トレンディエンジェルMC</t>
  </si>
  <si>
    <t>なみだ色の消しごむ</t>
  </si>
  <si>
    <t>ナナランド</t>
  </si>
  <si>
    <t>THE ORCHESTRA TOKYO</t>
  </si>
  <si>
    <t>Kolokol</t>
  </si>
  <si>
    <t>ラフ×ラフ</t>
  </si>
  <si>
    <t>おこさまぷれ～と</t>
  </si>
  <si>
    <t>format_mode</t>
    <phoneticPr fontId="1"/>
  </si>
  <si>
    <t>0</t>
    <phoneticPr fontId="1"/>
  </si>
  <si>
    <t>join_flg</t>
  </si>
  <si>
    <t>グリッターシステム</t>
  </si>
  <si>
    <t>Hi-Fi GIRLs PROJECT</t>
  </si>
  <si>
    <t>調整時間</t>
  </si>
  <si>
    <t>Ange☆Reve</t>
  </si>
  <si>
    <t>KissBee</t>
  </si>
  <si>
    <t>ルージュブック</t>
  </si>
  <si>
    <t>AOAO</t>
  </si>
  <si>
    <t>shangmoo</t>
  </si>
  <si>
    <t>ベンジャス！</t>
  </si>
  <si>
    <t>スターリットストーリー</t>
  </si>
  <si>
    <t>おちゃメンタル☆パーティー</t>
  </si>
  <si>
    <t>feelNEO</t>
  </si>
  <si>
    <t>Hey!Mommy!</t>
  </si>
  <si>
    <t>フューチャーサイダー</t>
  </si>
  <si>
    <t>SCRAMBLE SMILE</t>
  </si>
  <si>
    <t>THE ENCORE</t>
  </si>
  <si>
    <t>PinkySpice</t>
  </si>
  <si>
    <t>強がりセンセーション</t>
  </si>
  <si>
    <t>点染テンセイ少女。</t>
  </si>
  <si>
    <t>Sweet Alley</t>
  </si>
  <si>
    <t>なんキニ！</t>
  </si>
  <si>
    <t>I MY ME MINE</t>
  </si>
  <si>
    <t>Palette Parade</t>
  </si>
  <si>
    <t>マーキュロ</t>
  </si>
  <si>
    <t>NANIMONO</t>
  </si>
  <si>
    <t>11:20</t>
  </si>
  <si>
    <t>11:30</t>
  </si>
  <si>
    <t>12:30</t>
  </si>
  <si>
    <t>11:40</t>
  </si>
  <si>
    <t>11:50</t>
  </si>
  <si>
    <t>12:20</t>
  </si>
  <si>
    <t>13:30</t>
  </si>
  <si>
    <t>12:55</t>
  </si>
  <si>
    <t>13:55</t>
  </si>
  <si>
    <t>13:05</t>
  </si>
  <si>
    <t>13:15</t>
  </si>
  <si>
    <t>13:45</t>
  </si>
  <si>
    <t>14:55</t>
  </si>
  <si>
    <t>14:10</t>
  </si>
  <si>
    <t>14:20</t>
  </si>
  <si>
    <t>15:20</t>
  </si>
  <si>
    <t>14:30</t>
  </si>
  <si>
    <t>16:00</t>
  </si>
  <si>
    <t>15:10</t>
  </si>
  <si>
    <t>16:20</t>
  </si>
  <si>
    <t>15:35</t>
  </si>
  <si>
    <t>15:45</t>
  </si>
  <si>
    <t>16:45</t>
  </si>
  <si>
    <t>15:55</t>
  </si>
  <si>
    <t>17:05</t>
  </si>
  <si>
    <t>17:25</t>
  </si>
  <si>
    <t>16:35</t>
  </si>
  <si>
    <t>17:00</t>
  </si>
  <si>
    <t>17:30</t>
  </si>
  <si>
    <t>18:30</t>
  </si>
  <si>
    <t>17:50</t>
  </si>
  <si>
    <t>18:50</t>
  </si>
  <si>
    <t>18:05</t>
  </si>
  <si>
    <t>18:55</t>
  </si>
  <si>
    <t>19:55</t>
  </si>
  <si>
    <t>19:05</t>
  </si>
  <si>
    <t>19:15</t>
  </si>
  <si>
    <t>20:15</t>
  </si>
  <si>
    <t>19:25</t>
  </si>
  <si>
    <t>20:35</t>
  </si>
  <si>
    <t>19:50</t>
  </si>
  <si>
    <t>3F 屋外テントA</t>
  </si>
  <si>
    <t>3F 屋外テントB</t>
  </si>
  <si>
    <t>3F 屋外テントC</t>
  </si>
  <si>
    <t>3F 屋外テントD</t>
  </si>
  <si>
    <t>terrace</t>
  </si>
  <si>
    <t>千人テラス</t>
    <rPh sb="0" eb="2">
      <t>センニン</t>
    </rPh>
    <phoneticPr fontId="1"/>
  </si>
  <si>
    <t>#00FF00</t>
    <phoneticPr fontId="1"/>
  </si>
  <si>
    <t>ブルーなままで</t>
  </si>
  <si>
    <t>ホールB</t>
    <phoneticPr fontId="1"/>
  </si>
  <si>
    <t>hall_b</t>
    <phoneticPr fontId="1"/>
  </si>
  <si>
    <t>#0000FF</t>
    <phoneticPr fontId="1"/>
  </si>
  <si>
    <t>にっぽんワチャワチャ</t>
    <phoneticPr fontId="1"/>
  </si>
  <si>
    <t>未完成のキャラメル</t>
  </si>
  <si>
    <t>11:25</t>
  </si>
  <si>
    <t>天上天使</t>
  </si>
  <si>
    <t>蛍</t>
  </si>
  <si>
    <t>3F 屋外テントE</t>
  </si>
  <si>
    <t>ランウィズ&amp;コンゼロ</t>
  </si>
  <si>
    <t>3F 屋外テントF</t>
  </si>
  <si>
    <t>つぼみ大革命</t>
  </si>
  <si>
    <t>SAY-LA</t>
  </si>
  <si>
    <t>LEVEL7</t>
  </si>
  <si>
    <t>超常フォーチューン</t>
  </si>
  <si>
    <t>星合いのライラック</t>
  </si>
  <si>
    <t>ニコニコ♡LOVERS</t>
  </si>
  <si>
    <t>LOVE 9 LOVE</t>
  </si>
  <si>
    <t>milu milu!</t>
  </si>
  <si>
    <t>Bety</t>
  </si>
  <si>
    <t>あの日見たラッキースター</t>
  </si>
  <si>
    <t>アイドルカレッジ</t>
  </si>
  <si>
    <t>ハレとハレ！</t>
  </si>
  <si>
    <t>こみっきゅおん！</t>
  </si>
  <si>
    <t>純粋カフェラッテ</t>
  </si>
  <si>
    <t>シャルロット</t>
  </si>
  <si>
    <t>すーぱーぷーばぁー‼︎</t>
  </si>
  <si>
    <t>世ノ果テデ人形ハ唯哂フ。</t>
  </si>
  <si>
    <t>スプスラッシュ</t>
  </si>
  <si>
    <t>メノニューイヤー</t>
  </si>
  <si>
    <t>RiNCENT♯</t>
  </si>
  <si>
    <t>SAI ²Rium</t>
  </si>
  <si>
    <t>20:55</t>
  </si>
  <si>
    <t>キプリスモルホォ</t>
  </si>
  <si>
    <t>21:15</t>
  </si>
  <si>
    <t>PALE TULLE</t>
  </si>
  <si>
    <t>hall_b</t>
    <phoneticPr fontId="1"/>
  </si>
  <si>
    <t>0.4</t>
    <phoneticPr fontId="1"/>
  </si>
  <si>
    <t>1</t>
    <phoneticPr fontId="1"/>
  </si>
  <si>
    <t>0.6</t>
    <phoneticPr fontId="1"/>
  </si>
  <si>
    <t>adjust_font_size_per</t>
    <phoneticPr fontId="1"/>
  </si>
  <si>
    <t>10</t>
    <phoneticPr fontId="1"/>
  </si>
  <si>
    <t>sp_join_flg</t>
    <phoneticPr fontId="1"/>
  </si>
  <si>
    <t>60</t>
    <phoneticPr fontId="1"/>
  </si>
  <si>
    <t>8</t>
    <phoneticPr fontId="1"/>
  </si>
  <si>
    <t>ロビーA</t>
    <phoneticPr fontId="1"/>
  </si>
  <si>
    <t>ロビーB</t>
    <phoneticPr fontId="1"/>
  </si>
  <si>
    <t>ロビーC</t>
    <phoneticPr fontId="1"/>
  </si>
  <si>
    <t>lobby_a</t>
    <phoneticPr fontId="1"/>
  </si>
  <si>
    <t>lobby_b</t>
    <phoneticPr fontId="1"/>
  </si>
  <si>
    <t>lobby_c</t>
    <phoneticPr fontId="1"/>
  </si>
  <si>
    <t>#00FF00</t>
  </si>
  <si>
    <t>#0000FF</t>
  </si>
  <si>
    <t>#FFFF00</t>
    <phoneticPr fontId="1"/>
  </si>
  <si>
    <t>sp_id</t>
    <phoneticPr fontId="1"/>
  </si>
  <si>
    <t>lobby_a</t>
    <phoneticPr fontId="1"/>
  </si>
  <si>
    <t>lobby_b</t>
    <phoneticPr fontId="1"/>
  </si>
  <si>
    <t>lobby_c</t>
    <phoneticPr fontId="1"/>
  </si>
  <si>
    <t>hall_b</t>
    <phoneticPr fontId="1"/>
  </si>
  <si>
    <t>350</t>
    <phoneticPr fontId="1"/>
  </si>
  <si>
    <t>10:15</t>
    <phoneticPr fontId="1"/>
  </si>
  <si>
    <t>21:00</t>
    <phoneticPr fontId="1"/>
  </si>
  <si>
    <t>18</t>
    <phoneticPr fontId="1"/>
  </si>
  <si>
    <t>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</si>
</sst>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quotePrefix="1" applyNumberFormat="1">
      <alignment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123825</xdr:rowOff>
        </xdr:from>
        <xdr:to>
          <xdr:col>6</xdr:col>
          <xdr:colOff>228600</xdr:colOff>
          <xdr:row>11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5</xdr:row>
          <xdr:rowOff>123825</xdr:rowOff>
        </xdr:from>
        <xdr:to>
          <xdr:col>8</xdr:col>
          <xdr:colOff>47625</xdr:colOff>
          <xdr:row>14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0</xdr:row>
      <xdr:rowOff>0</xdr:rowOff>
    </xdr:from>
    <xdr:to>
      <xdr:col>8</xdr:col>
      <xdr:colOff>92075</xdr:colOff>
      <xdr:row>62</xdr:row>
      <xdr:rowOff>129540</xdr:rowOff>
    </xdr:to>
    <xdr:sp macro="" textlink="">
      <xdr:nvSpPr>
        <xdr:cNvPr id="233" name="hall_a_all_base"/>
        <xdr:cNvSpPr/>
      </xdr:nvSpPr>
      <xdr:spPr>
        <a:xfrm>
          <a:off x="1133475" y="0"/>
          <a:ext cx="4445000" cy="10759440"/>
        </a:xfrm>
        <a:prstGeom prst="roundRect">
          <a:avLst>
            <a:gd name="adj" fmla="val 100"/>
          </a:avLst>
        </a:prstGeom>
        <a:solidFill>
          <a:srgbClr val="0000FF">
            <a:alpha val="10000"/>
          </a:srgbClr>
        </a:solidFill>
        <a:ln w="12700" cap="flat" cmpd="sng" algn="ctr">
          <a:solidFill>
            <a:srgbClr val="0000FF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371475</xdr:colOff>
      <xdr:row>3</xdr:row>
      <xdr:rowOff>95250</xdr:rowOff>
    </xdr:from>
    <xdr:to>
      <xdr:col>1</xdr:col>
      <xdr:colOff>447675</xdr:colOff>
      <xdr:row>63</xdr:row>
      <xdr:rowOff>95250</xdr:rowOff>
    </xdr:to>
    <xdr:grpSp>
      <xdr:nvGrpSpPr>
        <xdr:cNvPr id="90" name="time_axis"/>
        <xdr:cNvGrpSpPr/>
      </xdr:nvGrpSpPr>
      <xdr:grpSpPr>
        <a:xfrm>
          <a:off x="371475" y="609600"/>
          <a:ext cx="762000" cy="10287000"/>
          <a:chOff x="0" y="0"/>
          <a:chExt cx="762000" cy="10287000"/>
        </a:xfrm>
      </xdr:grpSpPr>
      <xdr:sp macro="" textlink="">
        <xdr:nvSpPr>
          <xdr:cNvPr id="2" name="timeAxis00"/>
          <xdr:cNvSpPr/>
        </xdr:nvSpPr>
        <xdr:spPr>
          <a:xfrm>
            <a:off x="0" y="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10:15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" name="timeAxis01"/>
          <xdr:cNvSpPr/>
        </xdr:nvSpPr>
        <xdr:spPr>
          <a:xfrm>
            <a:off x="0" y="228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10:30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" name="timeAxis02"/>
          <xdr:cNvSpPr/>
        </xdr:nvSpPr>
        <xdr:spPr>
          <a:xfrm>
            <a:off x="0" y="457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10:45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5" name="timeAxis03"/>
          <xdr:cNvSpPr/>
        </xdr:nvSpPr>
        <xdr:spPr>
          <a:xfrm>
            <a:off x="0" y="685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11:00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6" name="timeAxis04"/>
          <xdr:cNvSpPr/>
        </xdr:nvSpPr>
        <xdr:spPr>
          <a:xfrm>
            <a:off x="0" y="914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11:15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7" name="timeAxis05"/>
          <xdr:cNvSpPr/>
        </xdr:nvSpPr>
        <xdr:spPr>
          <a:xfrm>
            <a:off x="0" y="1143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11:30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8" name="timeAxis06"/>
          <xdr:cNvSpPr/>
        </xdr:nvSpPr>
        <xdr:spPr>
          <a:xfrm>
            <a:off x="0" y="1371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11:45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9" name="timeAxis07"/>
          <xdr:cNvSpPr/>
        </xdr:nvSpPr>
        <xdr:spPr>
          <a:xfrm>
            <a:off x="0" y="1600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12:00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0" name="timeAxis08"/>
          <xdr:cNvSpPr/>
        </xdr:nvSpPr>
        <xdr:spPr>
          <a:xfrm>
            <a:off x="0" y="1828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12:15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1" name="timeAxis09"/>
          <xdr:cNvSpPr/>
        </xdr:nvSpPr>
        <xdr:spPr>
          <a:xfrm>
            <a:off x="0" y="2057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12:30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2" name="timeAxis10"/>
          <xdr:cNvSpPr/>
        </xdr:nvSpPr>
        <xdr:spPr>
          <a:xfrm>
            <a:off x="0" y="2286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12:45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3" name="timeAxis11"/>
          <xdr:cNvSpPr/>
        </xdr:nvSpPr>
        <xdr:spPr>
          <a:xfrm>
            <a:off x="0" y="2514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13:00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4" name="timeAxis12"/>
          <xdr:cNvSpPr/>
        </xdr:nvSpPr>
        <xdr:spPr>
          <a:xfrm>
            <a:off x="0" y="2743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13:15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5" name="timeAxis13"/>
          <xdr:cNvSpPr/>
        </xdr:nvSpPr>
        <xdr:spPr>
          <a:xfrm>
            <a:off x="0" y="2971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13:30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6" name="timeAxis14"/>
          <xdr:cNvSpPr/>
        </xdr:nvSpPr>
        <xdr:spPr>
          <a:xfrm>
            <a:off x="0" y="3200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13:45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7" name="timeAxis15"/>
          <xdr:cNvSpPr/>
        </xdr:nvSpPr>
        <xdr:spPr>
          <a:xfrm>
            <a:off x="0" y="3429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14:00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8" name="timeAxis16"/>
          <xdr:cNvSpPr/>
        </xdr:nvSpPr>
        <xdr:spPr>
          <a:xfrm>
            <a:off x="0" y="3657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14:15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19" name="timeAxis17"/>
          <xdr:cNvSpPr/>
        </xdr:nvSpPr>
        <xdr:spPr>
          <a:xfrm>
            <a:off x="0" y="3886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14:30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0" name="timeAxis18"/>
          <xdr:cNvSpPr/>
        </xdr:nvSpPr>
        <xdr:spPr>
          <a:xfrm>
            <a:off x="0" y="4114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14:45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1" name="timeAxis19"/>
          <xdr:cNvSpPr/>
        </xdr:nvSpPr>
        <xdr:spPr>
          <a:xfrm>
            <a:off x="0" y="4343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15:00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2" name="timeAxis20"/>
          <xdr:cNvSpPr/>
        </xdr:nvSpPr>
        <xdr:spPr>
          <a:xfrm>
            <a:off x="0" y="4572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15:15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3" name="timeAxis21"/>
          <xdr:cNvSpPr/>
        </xdr:nvSpPr>
        <xdr:spPr>
          <a:xfrm>
            <a:off x="0" y="4800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15:30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4" name="timeAxis22"/>
          <xdr:cNvSpPr/>
        </xdr:nvSpPr>
        <xdr:spPr>
          <a:xfrm>
            <a:off x="0" y="5029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15:45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5" name="timeAxis23"/>
          <xdr:cNvSpPr/>
        </xdr:nvSpPr>
        <xdr:spPr>
          <a:xfrm>
            <a:off x="0" y="5257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16:00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6" name="timeAxis24"/>
          <xdr:cNvSpPr/>
        </xdr:nvSpPr>
        <xdr:spPr>
          <a:xfrm>
            <a:off x="0" y="5486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16:15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7" name="timeAxis25"/>
          <xdr:cNvSpPr/>
        </xdr:nvSpPr>
        <xdr:spPr>
          <a:xfrm>
            <a:off x="0" y="5715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16:30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8" name="timeAxis26"/>
          <xdr:cNvSpPr/>
        </xdr:nvSpPr>
        <xdr:spPr>
          <a:xfrm>
            <a:off x="0" y="5943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16:45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29" name="timeAxis27"/>
          <xdr:cNvSpPr/>
        </xdr:nvSpPr>
        <xdr:spPr>
          <a:xfrm>
            <a:off x="0" y="6172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17:00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0" name="timeAxis28"/>
          <xdr:cNvSpPr/>
        </xdr:nvSpPr>
        <xdr:spPr>
          <a:xfrm>
            <a:off x="0" y="6400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17:15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1" name="timeAxis29"/>
          <xdr:cNvSpPr/>
        </xdr:nvSpPr>
        <xdr:spPr>
          <a:xfrm>
            <a:off x="0" y="6629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17:30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2" name="timeAxis30"/>
          <xdr:cNvSpPr/>
        </xdr:nvSpPr>
        <xdr:spPr>
          <a:xfrm>
            <a:off x="0" y="6858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17:45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3" name="timeAxis31"/>
          <xdr:cNvSpPr/>
        </xdr:nvSpPr>
        <xdr:spPr>
          <a:xfrm>
            <a:off x="0" y="7086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18:00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4" name="timeAxis32"/>
          <xdr:cNvSpPr/>
        </xdr:nvSpPr>
        <xdr:spPr>
          <a:xfrm>
            <a:off x="0" y="7315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18:15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5" name="timeAxis33"/>
          <xdr:cNvSpPr/>
        </xdr:nvSpPr>
        <xdr:spPr>
          <a:xfrm>
            <a:off x="0" y="7543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18:30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6" name="timeAxis34"/>
          <xdr:cNvSpPr/>
        </xdr:nvSpPr>
        <xdr:spPr>
          <a:xfrm>
            <a:off x="0" y="7772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18:45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7" name="timeAxis35"/>
          <xdr:cNvSpPr/>
        </xdr:nvSpPr>
        <xdr:spPr>
          <a:xfrm>
            <a:off x="0" y="8001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19:00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8" name="timeAxis36"/>
          <xdr:cNvSpPr/>
        </xdr:nvSpPr>
        <xdr:spPr>
          <a:xfrm>
            <a:off x="0" y="8229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19:15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39" name="timeAxis37"/>
          <xdr:cNvSpPr/>
        </xdr:nvSpPr>
        <xdr:spPr>
          <a:xfrm>
            <a:off x="0" y="8458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19:30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0" name="timeAxis38"/>
          <xdr:cNvSpPr/>
        </xdr:nvSpPr>
        <xdr:spPr>
          <a:xfrm>
            <a:off x="0" y="8686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19:45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1" name="timeAxis39"/>
          <xdr:cNvSpPr/>
        </xdr:nvSpPr>
        <xdr:spPr>
          <a:xfrm>
            <a:off x="0" y="89154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20:00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2" name="timeAxis40"/>
          <xdr:cNvSpPr/>
        </xdr:nvSpPr>
        <xdr:spPr>
          <a:xfrm>
            <a:off x="0" y="91440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20:15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3" name="timeAxis41"/>
          <xdr:cNvSpPr/>
        </xdr:nvSpPr>
        <xdr:spPr>
          <a:xfrm>
            <a:off x="0" y="93726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20:30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4" name="timeAxis42"/>
          <xdr:cNvSpPr/>
        </xdr:nvSpPr>
        <xdr:spPr>
          <a:xfrm>
            <a:off x="0" y="96012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20:45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  <xdr:sp macro="" textlink="">
        <xdr:nvSpPr>
          <xdr:cNvPr id="45" name="timeAxis43"/>
          <xdr:cNvSpPr/>
        </xdr:nvSpPr>
        <xdr:spPr>
          <a:xfrm>
            <a:off x="0" y="9829800"/>
            <a:ext cx="762000" cy="457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000" b="1">
                <a:solidFill>
                  <a:srgbClr val="000000"/>
                </a:solidFill>
                <a:latin typeface="BIZ UD明朝 Medium"/>
              </a:rPr>
              <a:t>21:00</a:t>
            </a:r>
            <a:endParaRPr kumimoji="1" lang="ja-JP" altLang="en-US" sz="1000" b="1">
              <a:solidFill>
                <a:srgbClr val="000000"/>
              </a:solidFill>
              <a:latin typeface="BIZ UD明朝 Medium"/>
            </a:endParaRPr>
          </a:p>
        </xdr:txBody>
      </xdr:sp>
    </xdr:grpSp>
    <xdr:clientData/>
  </xdr:twoCellAnchor>
  <xdr:twoCellAnchor>
    <xdr:from>
      <xdr:col>1</xdr:col>
      <xdr:colOff>447675</xdr:colOff>
      <xdr:row>4</xdr:row>
      <xdr:rowOff>152400</xdr:rowOff>
    </xdr:from>
    <xdr:to>
      <xdr:col>8</xdr:col>
      <xdr:colOff>92075</xdr:colOff>
      <xdr:row>62</xdr:row>
      <xdr:rowOff>38100</xdr:rowOff>
    </xdr:to>
    <xdr:grpSp>
      <xdr:nvGrpSpPr>
        <xdr:cNvPr id="91" name="time_axis_line"/>
        <xdr:cNvGrpSpPr/>
      </xdr:nvGrpSpPr>
      <xdr:grpSpPr>
        <a:xfrm>
          <a:off x="1133475" y="838200"/>
          <a:ext cx="4445000" cy="9829800"/>
          <a:chOff x="1270000" y="0"/>
          <a:chExt cx="1270000" cy="9829800"/>
        </a:xfrm>
      </xdr:grpSpPr>
      <xdr:sp macro="" textlink="">
        <xdr:nvSpPr>
          <xdr:cNvPr id="46" name="timeAxisLine00"/>
          <xdr:cNvSpPr/>
        </xdr:nvSpPr>
        <xdr:spPr>
          <a:xfrm>
            <a:off x="1270000" y="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7" name="timeAxisLine01"/>
          <xdr:cNvSpPr/>
        </xdr:nvSpPr>
        <xdr:spPr>
          <a:xfrm>
            <a:off x="1270000" y="228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8" name="timeAxisLine02"/>
          <xdr:cNvSpPr/>
        </xdr:nvSpPr>
        <xdr:spPr>
          <a:xfrm>
            <a:off x="1270000" y="457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9" name="timeAxisLine03"/>
          <xdr:cNvSpPr/>
        </xdr:nvSpPr>
        <xdr:spPr>
          <a:xfrm>
            <a:off x="1270000" y="685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0" name="timeAxisLine04"/>
          <xdr:cNvSpPr/>
        </xdr:nvSpPr>
        <xdr:spPr>
          <a:xfrm>
            <a:off x="1270000" y="914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1" name="timeAxisLine05"/>
          <xdr:cNvSpPr/>
        </xdr:nvSpPr>
        <xdr:spPr>
          <a:xfrm>
            <a:off x="1270000" y="1143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2" name="timeAxisLine06"/>
          <xdr:cNvSpPr/>
        </xdr:nvSpPr>
        <xdr:spPr>
          <a:xfrm>
            <a:off x="1270000" y="1371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3" name="timeAxisLine07"/>
          <xdr:cNvSpPr/>
        </xdr:nvSpPr>
        <xdr:spPr>
          <a:xfrm>
            <a:off x="1270000" y="1600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4" name="timeAxisLine08"/>
          <xdr:cNvSpPr/>
        </xdr:nvSpPr>
        <xdr:spPr>
          <a:xfrm>
            <a:off x="1270000" y="1828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5" name="timeAxisLine09"/>
          <xdr:cNvSpPr/>
        </xdr:nvSpPr>
        <xdr:spPr>
          <a:xfrm>
            <a:off x="1270000" y="2057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6" name="timeAxisLine10"/>
          <xdr:cNvSpPr/>
        </xdr:nvSpPr>
        <xdr:spPr>
          <a:xfrm>
            <a:off x="1270000" y="228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7" name="timeAxisLine11"/>
          <xdr:cNvSpPr/>
        </xdr:nvSpPr>
        <xdr:spPr>
          <a:xfrm>
            <a:off x="1270000" y="2514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8" name="timeAxisLine12"/>
          <xdr:cNvSpPr/>
        </xdr:nvSpPr>
        <xdr:spPr>
          <a:xfrm>
            <a:off x="1270000" y="2743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9" name="timeAxisLine13"/>
          <xdr:cNvSpPr/>
        </xdr:nvSpPr>
        <xdr:spPr>
          <a:xfrm>
            <a:off x="1270000" y="2971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0" name="timeAxisLine14"/>
          <xdr:cNvSpPr/>
        </xdr:nvSpPr>
        <xdr:spPr>
          <a:xfrm>
            <a:off x="1270000" y="3200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1" name="timeAxisLine15"/>
          <xdr:cNvSpPr/>
        </xdr:nvSpPr>
        <xdr:spPr>
          <a:xfrm>
            <a:off x="1270000" y="3429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2" name="timeAxisLine16"/>
          <xdr:cNvSpPr/>
        </xdr:nvSpPr>
        <xdr:spPr>
          <a:xfrm>
            <a:off x="1270000" y="3657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3" name="timeAxisLine17"/>
          <xdr:cNvSpPr/>
        </xdr:nvSpPr>
        <xdr:spPr>
          <a:xfrm>
            <a:off x="1270000" y="3886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4" name="timeAxisLine18"/>
          <xdr:cNvSpPr/>
        </xdr:nvSpPr>
        <xdr:spPr>
          <a:xfrm>
            <a:off x="1270000" y="4114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5" name="timeAxisLine19"/>
          <xdr:cNvSpPr/>
        </xdr:nvSpPr>
        <xdr:spPr>
          <a:xfrm>
            <a:off x="1270000" y="4343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6" name="timeAxisLine20"/>
          <xdr:cNvSpPr/>
        </xdr:nvSpPr>
        <xdr:spPr>
          <a:xfrm>
            <a:off x="1270000" y="457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7" name="timeAxisLine21"/>
          <xdr:cNvSpPr/>
        </xdr:nvSpPr>
        <xdr:spPr>
          <a:xfrm>
            <a:off x="1270000" y="4800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8" name="timeAxisLine22"/>
          <xdr:cNvSpPr/>
        </xdr:nvSpPr>
        <xdr:spPr>
          <a:xfrm>
            <a:off x="1270000" y="5029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9" name="timeAxisLine23"/>
          <xdr:cNvSpPr/>
        </xdr:nvSpPr>
        <xdr:spPr>
          <a:xfrm>
            <a:off x="1270000" y="5257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0" name="timeAxisLine24"/>
          <xdr:cNvSpPr/>
        </xdr:nvSpPr>
        <xdr:spPr>
          <a:xfrm>
            <a:off x="1270000" y="5486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1" name="timeAxisLine25"/>
          <xdr:cNvSpPr/>
        </xdr:nvSpPr>
        <xdr:spPr>
          <a:xfrm>
            <a:off x="1270000" y="5715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2" name="timeAxisLine26"/>
          <xdr:cNvSpPr/>
        </xdr:nvSpPr>
        <xdr:spPr>
          <a:xfrm>
            <a:off x="1270000" y="5943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3" name="timeAxisLine27"/>
          <xdr:cNvSpPr/>
        </xdr:nvSpPr>
        <xdr:spPr>
          <a:xfrm>
            <a:off x="1270000" y="6172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4" name="timeAxisLine28"/>
          <xdr:cNvSpPr/>
        </xdr:nvSpPr>
        <xdr:spPr>
          <a:xfrm>
            <a:off x="1270000" y="6400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5" name="timeAxisLine29"/>
          <xdr:cNvSpPr/>
        </xdr:nvSpPr>
        <xdr:spPr>
          <a:xfrm>
            <a:off x="1270000" y="6629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6" name="timeAxisLine30"/>
          <xdr:cNvSpPr/>
        </xdr:nvSpPr>
        <xdr:spPr>
          <a:xfrm>
            <a:off x="1270000" y="685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7" name="timeAxisLine31"/>
          <xdr:cNvSpPr/>
        </xdr:nvSpPr>
        <xdr:spPr>
          <a:xfrm>
            <a:off x="1270000" y="7086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8" name="timeAxisLine32"/>
          <xdr:cNvSpPr/>
        </xdr:nvSpPr>
        <xdr:spPr>
          <a:xfrm>
            <a:off x="1270000" y="7315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9" name="timeAxisLine33"/>
          <xdr:cNvSpPr/>
        </xdr:nvSpPr>
        <xdr:spPr>
          <a:xfrm>
            <a:off x="1270000" y="7543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0" name="timeAxisLine34"/>
          <xdr:cNvSpPr/>
        </xdr:nvSpPr>
        <xdr:spPr>
          <a:xfrm>
            <a:off x="1270000" y="7772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1" name="timeAxisLine35"/>
          <xdr:cNvSpPr/>
        </xdr:nvSpPr>
        <xdr:spPr>
          <a:xfrm>
            <a:off x="1270000" y="8001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2" name="timeAxisLine36"/>
          <xdr:cNvSpPr/>
        </xdr:nvSpPr>
        <xdr:spPr>
          <a:xfrm>
            <a:off x="1270000" y="8229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3" name="timeAxisLine37"/>
          <xdr:cNvSpPr/>
        </xdr:nvSpPr>
        <xdr:spPr>
          <a:xfrm>
            <a:off x="1270000" y="8458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" name="timeAxisLine38"/>
          <xdr:cNvSpPr/>
        </xdr:nvSpPr>
        <xdr:spPr>
          <a:xfrm>
            <a:off x="1270000" y="8686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" name="timeAxisLine39"/>
          <xdr:cNvSpPr/>
        </xdr:nvSpPr>
        <xdr:spPr>
          <a:xfrm>
            <a:off x="1270000" y="8915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" name="timeAxisLine40"/>
          <xdr:cNvSpPr/>
        </xdr:nvSpPr>
        <xdr:spPr>
          <a:xfrm>
            <a:off x="1270000" y="914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" name="timeAxisLine41"/>
          <xdr:cNvSpPr/>
        </xdr:nvSpPr>
        <xdr:spPr>
          <a:xfrm>
            <a:off x="1270000" y="9372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" name="timeAxisLine42"/>
          <xdr:cNvSpPr/>
        </xdr:nvSpPr>
        <xdr:spPr>
          <a:xfrm>
            <a:off x="1270000" y="9601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" name="timeAxisLine43"/>
          <xdr:cNvSpPr/>
        </xdr:nvSpPr>
        <xdr:spPr>
          <a:xfrm>
            <a:off x="1270000" y="9829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447675</xdr:colOff>
      <xdr:row>0</xdr:row>
      <xdr:rowOff>0</xdr:rowOff>
    </xdr:from>
    <xdr:to>
      <xdr:col>8</xdr:col>
      <xdr:colOff>92075</xdr:colOff>
      <xdr:row>3</xdr:row>
      <xdr:rowOff>31750</xdr:rowOff>
    </xdr:to>
    <xdr:grpSp>
      <xdr:nvGrpSpPr>
        <xdr:cNvPr id="95" name="hall_a_Detail"/>
        <xdr:cNvGrpSpPr/>
      </xdr:nvGrpSpPr>
      <xdr:grpSpPr>
        <a:xfrm>
          <a:off x="1133475" y="0"/>
          <a:ext cx="4445000" cy="546100"/>
          <a:chOff x="0" y="0"/>
          <a:chExt cx="4445000" cy="546100"/>
        </a:xfrm>
      </xdr:grpSpPr>
      <xdr:sp macro="" textlink="">
        <xdr:nvSpPr>
          <xdr:cNvPr id="92" name="hall_a_stage_name"/>
          <xdr:cNvSpPr/>
        </xdr:nvSpPr>
        <xdr:spPr>
          <a:xfrm>
            <a:off x="222250" y="63500"/>
            <a:ext cx="40005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600" b="1">
                <a:solidFill>
                  <a:srgbClr val="000000"/>
                </a:solidFill>
                <a:latin typeface="Meiryo UI"/>
              </a:rPr>
              <a:t>ホール</a:t>
            </a:r>
            <a:r>
              <a:rPr kumimoji="1" lang="en-US" altLang="ja-JP" sz="600" b="1">
                <a:solidFill>
                  <a:srgbClr val="000000"/>
                </a:solidFill>
                <a:latin typeface="Meiryo UI"/>
              </a:rPr>
              <a:t>A</a:t>
            </a:r>
            <a:endParaRPr kumimoji="1" lang="ja-JP" altLang="en-US" sz="600" b="1">
              <a:solidFill>
                <a:srgbClr val="000000"/>
              </a:solidFill>
              <a:latin typeface="Meiryo UI"/>
            </a:endParaRPr>
          </a:p>
        </xdr:txBody>
      </xdr:sp>
      <xdr:sp macro="" textlink="">
        <xdr:nvSpPr>
          <xdr:cNvPr id="93" name="hall_a_stage_place"/>
          <xdr:cNvSpPr/>
        </xdr:nvSpPr>
        <xdr:spPr>
          <a:xfrm>
            <a:off x="222250" y="304800"/>
            <a:ext cx="40005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kumimoji="1" lang="ja-JP" altLang="en-US" sz="600" b="1">
              <a:solidFill>
                <a:srgbClr val="000000"/>
              </a:solidFill>
              <a:latin typeface="Meiryo UI"/>
            </a:endParaRPr>
          </a:p>
        </xdr:txBody>
      </xdr:sp>
      <xdr:sp macro="" textlink="">
        <xdr:nvSpPr>
          <xdr:cNvPr id="94" name="hall_a_detail_base"/>
          <xdr:cNvSpPr/>
        </xdr:nvSpPr>
        <xdr:spPr>
          <a:xfrm>
            <a:off x="0" y="0"/>
            <a:ext cx="4445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10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</xdr:col>
      <xdr:colOff>447675</xdr:colOff>
      <xdr:row>4</xdr:row>
      <xdr:rowOff>25400</xdr:rowOff>
    </xdr:from>
    <xdr:to>
      <xdr:col>8</xdr:col>
      <xdr:colOff>92075</xdr:colOff>
      <xdr:row>62</xdr:row>
      <xdr:rowOff>129540</xdr:rowOff>
    </xdr:to>
    <xdr:sp macro="" textlink="">
      <xdr:nvSpPr>
        <xdr:cNvPr id="96" name="hall_a_base"/>
        <xdr:cNvSpPr/>
      </xdr:nvSpPr>
      <xdr:spPr>
        <a:xfrm>
          <a:off x="1133475" y="711200"/>
          <a:ext cx="4445000" cy="10048240"/>
        </a:xfrm>
        <a:prstGeom prst="roundRect">
          <a:avLst>
            <a:gd name="adj" fmla="val 100"/>
          </a:avLst>
        </a:prstGeom>
        <a:solidFill>
          <a:srgbClr val="000000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6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669925</xdr:colOff>
      <xdr:row>6</xdr:row>
      <xdr:rowOff>50800</xdr:rowOff>
    </xdr:from>
    <xdr:to>
      <xdr:col>7</xdr:col>
      <xdr:colOff>555625</xdr:colOff>
      <xdr:row>7</xdr:row>
      <xdr:rowOff>82550</xdr:rowOff>
    </xdr:to>
    <xdr:sp macro="" textlink="">
      <xdr:nvSpPr>
        <xdr:cNvPr id="97" name="group_001_under"/>
        <xdr:cNvSpPr/>
      </xdr:nvSpPr>
      <xdr:spPr>
        <a:xfrm>
          <a:off x="1355725" y="1079500"/>
          <a:ext cx="4000500" cy="2032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5</xdr:row>
      <xdr:rowOff>82550</xdr:rowOff>
    </xdr:from>
    <xdr:to>
      <xdr:col>6</xdr:col>
      <xdr:colOff>219075</xdr:colOff>
      <xdr:row>8</xdr:row>
      <xdr:rowOff>50800</xdr:rowOff>
    </xdr:to>
    <xdr:sp macro="" textlink="">
      <xdr:nvSpPr>
        <xdr:cNvPr id="98" name="group_001_text"/>
        <xdr:cNvSpPr/>
      </xdr:nvSpPr>
      <xdr:spPr>
        <a:xfrm>
          <a:off x="2378075" y="939800"/>
          <a:ext cx="1955800" cy="4826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ai*ai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</xdr:row>
      <xdr:rowOff>82550</xdr:rowOff>
    </xdr:from>
    <xdr:to>
      <xdr:col>7</xdr:col>
      <xdr:colOff>155575</xdr:colOff>
      <xdr:row>8</xdr:row>
      <xdr:rowOff>50800</xdr:rowOff>
    </xdr:to>
    <xdr:sp macro="" textlink="">
      <xdr:nvSpPr>
        <xdr:cNvPr id="99" name="group_001_time"/>
        <xdr:cNvSpPr/>
      </xdr:nvSpPr>
      <xdr:spPr>
        <a:xfrm>
          <a:off x="1355725" y="939800"/>
          <a:ext cx="3600450" cy="4826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10:30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10:45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</xdr:row>
      <xdr:rowOff>82550</xdr:rowOff>
    </xdr:from>
    <xdr:to>
      <xdr:col>7</xdr:col>
      <xdr:colOff>555625</xdr:colOff>
      <xdr:row>8</xdr:row>
      <xdr:rowOff>50800</xdr:rowOff>
    </xdr:to>
    <xdr:sp macro="" textlink="">
      <xdr:nvSpPr>
        <xdr:cNvPr id="100" name="group_001_sp_time"/>
        <xdr:cNvSpPr/>
      </xdr:nvSpPr>
      <xdr:spPr>
        <a:xfrm>
          <a:off x="1355725" y="939800"/>
          <a:ext cx="4000500" cy="4826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10:55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11:55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7</xdr:row>
      <xdr:rowOff>107950</xdr:rowOff>
    </xdr:from>
    <xdr:to>
      <xdr:col>7</xdr:col>
      <xdr:colOff>555625</xdr:colOff>
      <xdr:row>8</xdr:row>
      <xdr:rowOff>139700</xdr:rowOff>
    </xdr:to>
    <xdr:sp macro="" textlink="">
      <xdr:nvSpPr>
        <xdr:cNvPr id="102" name="group_002_under"/>
        <xdr:cNvSpPr/>
      </xdr:nvSpPr>
      <xdr:spPr>
        <a:xfrm>
          <a:off x="1355725" y="1308100"/>
          <a:ext cx="4000500" cy="2032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6</xdr:row>
      <xdr:rowOff>139700</xdr:rowOff>
    </xdr:from>
    <xdr:to>
      <xdr:col>6</xdr:col>
      <xdr:colOff>219075</xdr:colOff>
      <xdr:row>9</xdr:row>
      <xdr:rowOff>107950</xdr:rowOff>
    </xdr:to>
    <xdr:sp macro="" textlink="">
      <xdr:nvSpPr>
        <xdr:cNvPr id="103" name="group_002_text"/>
        <xdr:cNvSpPr/>
      </xdr:nvSpPr>
      <xdr:spPr>
        <a:xfrm>
          <a:off x="2378075" y="1168400"/>
          <a:ext cx="1955800" cy="4826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Drug&amp;Drop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6</xdr:row>
      <xdr:rowOff>139700</xdr:rowOff>
    </xdr:from>
    <xdr:to>
      <xdr:col>7</xdr:col>
      <xdr:colOff>155575</xdr:colOff>
      <xdr:row>9</xdr:row>
      <xdr:rowOff>107950</xdr:rowOff>
    </xdr:to>
    <xdr:sp macro="" textlink="">
      <xdr:nvSpPr>
        <xdr:cNvPr id="104" name="group_002_time"/>
        <xdr:cNvSpPr/>
      </xdr:nvSpPr>
      <xdr:spPr>
        <a:xfrm>
          <a:off x="1355725" y="1168400"/>
          <a:ext cx="3600450" cy="4826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10:45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11:00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6</xdr:row>
      <xdr:rowOff>139700</xdr:rowOff>
    </xdr:from>
    <xdr:to>
      <xdr:col>7</xdr:col>
      <xdr:colOff>555625</xdr:colOff>
      <xdr:row>9</xdr:row>
      <xdr:rowOff>107950</xdr:rowOff>
    </xdr:to>
    <xdr:sp macro="" textlink="">
      <xdr:nvSpPr>
        <xdr:cNvPr id="105" name="group_002_sp_time"/>
        <xdr:cNvSpPr/>
      </xdr:nvSpPr>
      <xdr:spPr>
        <a:xfrm>
          <a:off x="1355725" y="1168400"/>
          <a:ext cx="4000500" cy="4826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11:10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12:10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8</xdr:row>
      <xdr:rowOff>165100</xdr:rowOff>
    </xdr:from>
    <xdr:to>
      <xdr:col>7</xdr:col>
      <xdr:colOff>555625</xdr:colOff>
      <xdr:row>9</xdr:row>
      <xdr:rowOff>120650</xdr:rowOff>
    </xdr:to>
    <xdr:sp macro="" textlink="">
      <xdr:nvSpPr>
        <xdr:cNvPr id="107" name="group_003_under"/>
        <xdr:cNvSpPr/>
      </xdr:nvSpPr>
      <xdr:spPr>
        <a:xfrm>
          <a:off x="1355725" y="1536700"/>
          <a:ext cx="4000500" cy="1270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8</xdr:row>
      <xdr:rowOff>25400</xdr:rowOff>
    </xdr:from>
    <xdr:to>
      <xdr:col>6</xdr:col>
      <xdr:colOff>219075</xdr:colOff>
      <xdr:row>10</xdr:row>
      <xdr:rowOff>88900</xdr:rowOff>
    </xdr:to>
    <xdr:sp macro="" textlink="">
      <xdr:nvSpPr>
        <xdr:cNvPr id="108" name="group_003_text"/>
        <xdr:cNvSpPr/>
      </xdr:nvSpPr>
      <xdr:spPr>
        <a:xfrm>
          <a:off x="2378075" y="1397000"/>
          <a:ext cx="19558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528">
              <a:solidFill>
                <a:srgbClr val="000000"/>
              </a:solidFill>
              <a:latin typeface="Meiryo UI"/>
            </a:rPr>
            <a:t>斉藤優里 トレンディエンジェル</a:t>
          </a:r>
          <a:r>
            <a:rPr kumimoji="1" lang="en-US" altLang="ja-JP" sz="528">
              <a:solidFill>
                <a:srgbClr val="000000"/>
              </a:solidFill>
              <a:latin typeface="Meiryo UI"/>
            </a:rPr>
            <a:t>MC</a:t>
          </a:r>
          <a:endParaRPr kumimoji="1" lang="ja-JP" altLang="en-US" sz="528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8</xdr:row>
      <xdr:rowOff>25400</xdr:rowOff>
    </xdr:from>
    <xdr:to>
      <xdr:col>7</xdr:col>
      <xdr:colOff>155575</xdr:colOff>
      <xdr:row>10</xdr:row>
      <xdr:rowOff>88900</xdr:rowOff>
    </xdr:to>
    <xdr:sp macro="" textlink="">
      <xdr:nvSpPr>
        <xdr:cNvPr id="109" name="group_003_time"/>
        <xdr:cNvSpPr/>
      </xdr:nvSpPr>
      <xdr:spPr>
        <a:xfrm>
          <a:off x="1355725" y="1397000"/>
          <a:ext cx="360045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11:00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11:10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8</xdr:row>
      <xdr:rowOff>25400</xdr:rowOff>
    </xdr:from>
    <xdr:to>
      <xdr:col>7</xdr:col>
      <xdr:colOff>555625</xdr:colOff>
      <xdr:row>10</xdr:row>
      <xdr:rowOff>88900</xdr:rowOff>
    </xdr:to>
    <xdr:sp macro="" textlink="">
      <xdr:nvSpPr>
        <xdr:cNvPr id="110" name="group_003_sp_time"/>
        <xdr:cNvSpPr/>
      </xdr:nvSpPr>
      <xdr:spPr>
        <a:xfrm>
          <a:off x="1355725" y="1397000"/>
          <a:ext cx="40005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ja-JP" altLang="en-US" sz="800">
              <a:solidFill>
                <a:srgbClr val="000000"/>
              </a:solidFill>
              <a:latin typeface="Meiryo UI"/>
            </a:rPr>
            <a:t>  </a:t>
          </a:r>
        </a:p>
      </xdr:txBody>
    </xdr:sp>
    <xdr:clientData/>
  </xdr:twoCellAnchor>
  <xdr:twoCellAnchor>
    <xdr:from>
      <xdr:col>1</xdr:col>
      <xdr:colOff>669925</xdr:colOff>
      <xdr:row>9</xdr:row>
      <xdr:rowOff>146050</xdr:rowOff>
    </xdr:from>
    <xdr:to>
      <xdr:col>7</xdr:col>
      <xdr:colOff>555625</xdr:colOff>
      <xdr:row>11</xdr:row>
      <xdr:rowOff>158750</xdr:rowOff>
    </xdr:to>
    <xdr:sp macro="" textlink="">
      <xdr:nvSpPr>
        <xdr:cNvPr id="112" name="group_004_under"/>
        <xdr:cNvSpPr/>
      </xdr:nvSpPr>
      <xdr:spPr>
        <a:xfrm>
          <a:off x="1355725" y="16891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9</xdr:row>
      <xdr:rowOff>6350</xdr:rowOff>
    </xdr:from>
    <xdr:to>
      <xdr:col>6</xdr:col>
      <xdr:colOff>219075</xdr:colOff>
      <xdr:row>12</xdr:row>
      <xdr:rowOff>127000</xdr:rowOff>
    </xdr:to>
    <xdr:sp macro="" textlink="">
      <xdr:nvSpPr>
        <xdr:cNvPr id="113" name="group_004_text"/>
        <xdr:cNvSpPr/>
      </xdr:nvSpPr>
      <xdr:spPr>
        <a:xfrm>
          <a:off x="2378075" y="15494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カラフルスクリーム</a:t>
          </a:r>
        </a:p>
      </xdr:txBody>
    </xdr:sp>
    <xdr:clientData/>
  </xdr:twoCellAnchor>
  <xdr:twoCellAnchor>
    <xdr:from>
      <xdr:col>1</xdr:col>
      <xdr:colOff>669925</xdr:colOff>
      <xdr:row>9</xdr:row>
      <xdr:rowOff>6350</xdr:rowOff>
    </xdr:from>
    <xdr:to>
      <xdr:col>7</xdr:col>
      <xdr:colOff>155575</xdr:colOff>
      <xdr:row>12</xdr:row>
      <xdr:rowOff>127000</xdr:rowOff>
    </xdr:to>
    <xdr:sp macro="" textlink="">
      <xdr:nvSpPr>
        <xdr:cNvPr id="114" name="group_004_time"/>
        <xdr:cNvSpPr/>
      </xdr:nvSpPr>
      <xdr:spPr>
        <a:xfrm>
          <a:off x="1355725" y="15494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11:10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11:35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9</xdr:row>
      <xdr:rowOff>6350</xdr:rowOff>
    </xdr:from>
    <xdr:to>
      <xdr:col>7</xdr:col>
      <xdr:colOff>555625</xdr:colOff>
      <xdr:row>12</xdr:row>
      <xdr:rowOff>127000</xdr:rowOff>
    </xdr:to>
    <xdr:sp macro="" textlink="">
      <xdr:nvSpPr>
        <xdr:cNvPr id="115" name="group_004_sp_time"/>
        <xdr:cNvSpPr/>
      </xdr:nvSpPr>
      <xdr:spPr>
        <a:xfrm>
          <a:off x="1355725" y="15494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11:45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12:45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C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12</xdr:row>
      <xdr:rowOff>12700</xdr:rowOff>
    </xdr:from>
    <xdr:to>
      <xdr:col>7</xdr:col>
      <xdr:colOff>555625</xdr:colOff>
      <xdr:row>14</xdr:row>
      <xdr:rowOff>25400</xdr:rowOff>
    </xdr:to>
    <xdr:sp macro="" textlink="">
      <xdr:nvSpPr>
        <xdr:cNvPr id="117" name="group_005_under"/>
        <xdr:cNvSpPr/>
      </xdr:nvSpPr>
      <xdr:spPr>
        <a:xfrm>
          <a:off x="1355725" y="20701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11</xdr:row>
      <xdr:rowOff>44450</xdr:rowOff>
    </xdr:from>
    <xdr:to>
      <xdr:col>6</xdr:col>
      <xdr:colOff>219075</xdr:colOff>
      <xdr:row>14</xdr:row>
      <xdr:rowOff>165100</xdr:rowOff>
    </xdr:to>
    <xdr:sp macro="" textlink="">
      <xdr:nvSpPr>
        <xdr:cNvPr id="118" name="group_005_text"/>
        <xdr:cNvSpPr/>
      </xdr:nvSpPr>
      <xdr:spPr>
        <a:xfrm>
          <a:off x="2378075" y="19304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のんふぃく！</a:t>
          </a:r>
        </a:p>
      </xdr:txBody>
    </xdr:sp>
    <xdr:clientData/>
  </xdr:twoCellAnchor>
  <xdr:twoCellAnchor>
    <xdr:from>
      <xdr:col>1</xdr:col>
      <xdr:colOff>669925</xdr:colOff>
      <xdr:row>11</xdr:row>
      <xdr:rowOff>44450</xdr:rowOff>
    </xdr:from>
    <xdr:to>
      <xdr:col>7</xdr:col>
      <xdr:colOff>155575</xdr:colOff>
      <xdr:row>14</xdr:row>
      <xdr:rowOff>165100</xdr:rowOff>
    </xdr:to>
    <xdr:sp macro="" textlink="">
      <xdr:nvSpPr>
        <xdr:cNvPr id="119" name="group_005_time"/>
        <xdr:cNvSpPr/>
      </xdr:nvSpPr>
      <xdr:spPr>
        <a:xfrm>
          <a:off x="1355725" y="19304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11:35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12:00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11</xdr:row>
      <xdr:rowOff>44450</xdr:rowOff>
    </xdr:from>
    <xdr:to>
      <xdr:col>7</xdr:col>
      <xdr:colOff>555625</xdr:colOff>
      <xdr:row>14</xdr:row>
      <xdr:rowOff>165100</xdr:rowOff>
    </xdr:to>
    <xdr:sp macro="" textlink="">
      <xdr:nvSpPr>
        <xdr:cNvPr id="120" name="group_005_sp_time"/>
        <xdr:cNvSpPr/>
      </xdr:nvSpPr>
      <xdr:spPr>
        <a:xfrm>
          <a:off x="1355725" y="19304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12:10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13:10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14</xdr:row>
      <xdr:rowOff>50800</xdr:rowOff>
    </xdr:from>
    <xdr:to>
      <xdr:col>7</xdr:col>
      <xdr:colOff>555625</xdr:colOff>
      <xdr:row>16</xdr:row>
      <xdr:rowOff>63500</xdr:rowOff>
    </xdr:to>
    <xdr:sp macro="" textlink="">
      <xdr:nvSpPr>
        <xdr:cNvPr id="122" name="group_006_under"/>
        <xdr:cNvSpPr/>
      </xdr:nvSpPr>
      <xdr:spPr>
        <a:xfrm>
          <a:off x="1355725" y="24511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13</xdr:row>
      <xdr:rowOff>82550</xdr:rowOff>
    </xdr:from>
    <xdr:to>
      <xdr:col>6</xdr:col>
      <xdr:colOff>219075</xdr:colOff>
      <xdr:row>17</xdr:row>
      <xdr:rowOff>31750</xdr:rowOff>
    </xdr:to>
    <xdr:sp macro="" textlink="">
      <xdr:nvSpPr>
        <xdr:cNvPr id="123" name="group_006_text"/>
        <xdr:cNvSpPr/>
      </xdr:nvSpPr>
      <xdr:spPr>
        <a:xfrm>
          <a:off x="2378075" y="23114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C;ON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13</xdr:row>
      <xdr:rowOff>82550</xdr:rowOff>
    </xdr:from>
    <xdr:to>
      <xdr:col>7</xdr:col>
      <xdr:colOff>155575</xdr:colOff>
      <xdr:row>17</xdr:row>
      <xdr:rowOff>31750</xdr:rowOff>
    </xdr:to>
    <xdr:sp macro="" textlink="">
      <xdr:nvSpPr>
        <xdr:cNvPr id="124" name="group_006_time"/>
        <xdr:cNvSpPr/>
      </xdr:nvSpPr>
      <xdr:spPr>
        <a:xfrm>
          <a:off x="1355725" y="23114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12:00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12:25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13</xdr:row>
      <xdr:rowOff>82550</xdr:rowOff>
    </xdr:from>
    <xdr:to>
      <xdr:col>7</xdr:col>
      <xdr:colOff>555625</xdr:colOff>
      <xdr:row>17</xdr:row>
      <xdr:rowOff>31750</xdr:rowOff>
    </xdr:to>
    <xdr:sp macro="" textlink="">
      <xdr:nvSpPr>
        <xdr:cNvPr id="125" name="group_006_sp_time"/>
        <xdr:cNvSpPr/>
      </xdr:nvSpPr>
      <xdr:spPr>
        <a:xfrm>
          <a:off x="1355725" y="23114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12:35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13:35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16</xdr:row>
      <xdr:rowOff>88900</xdr:rowOff>
    </xdr:from>
    <xdr:to>
      <xdr:col>7</xdr:col>
      <xdr:colOff>555625</xdr:colOff>
      <xdr:row>18</xdr:row>
      <xdr:rowOff>101600</xdr:rowOff>
    </xdr:to>
    <xdr:sp macro="" textlink="">
      <xdr:nvSpPr>
        <xdr:cNvPr id="127" name="group_007_under"/>
        <xdr:cNvSpPr/>
      </xdr:nvSpPr>
      <xdr:spPr>
        <a:xfrm>
          <a:off x="1355725" y="28321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15</xdr:row>
      <xdr:rowOff>120650</xdr:rowOff>
    </xdr:from>
    <xdr:to>
      <xdr:col>6</xdr:col>
      <xdr:colOff>219075</xdr:colOff>
      <xdr:row>19</xdr:row>
      <xdr:rowOff>69850</xdr:rowOff>
    </xdr:to>
    <xdr:sp macro="" textlink="">
      <xdr:nvSpPr>
        <xdr:cNvPr id="128" name="group_007_text"/>
        <xdr:cNvSpPr/>
      </xdr:nvSpPr>
      <xdr:spPr>
        <a:xfrm>
          <a:off x="2378075" y="26924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手羽先センセーション</a:t>
          </a:r>
        </a:p>
      </xdr:txBody>
    </xdr:sp>
    <xdr:clientData/>
  </xdr:twoCellAnchor>
  <xdr:twoCellAnchor>
    <xdr:from>
      <xdr:col>1</xdr:col>
      <xdr:colOff>669925</xdr:colOff>
      <xdr:row>15</xdr:row>
      <xdr:rowOff>120650</xdr:rowOff>
    </xdr:from>
    <xdr:to>
      <xdr:col>7</xdr:col>
      <xdr:colOff>155575</xdr:colOff>
      <xdr:row>19</xdr:row>
      <xdr:rowOff>69850</xdr:rowOff>
    </xdr:to>
    <xdr:sp macro="" textlink="">
      <xdr:nvSpPr>
        <xdr:cNvPr id="129" name="group_007_time"/>
        <xdr:cNvSpPr/>
      </xdr:nvSpPr>
      <xdr:spPr>
        <a:xfrm>
          <a:off x="1355725" y="26924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12:25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12:50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15</xdr:row>
      <xdr:rowOff>120650</xdr:rowOff>
    </xdr:from>
    <xdr:to>
      <xdr:col>7</xdr:col>
      <xdr:colOff>555625</xdr:colOff>
      <xdr:row>19</xdr:row>
      <xdr:rowOff>69850</xdr:rowOff>
    </xdr:to>
    <xdr:sp macro="" textlink="">
      <xdr:nvSpPr>
        <xdr:cNvPr id="130" name="group_007_sp_time"/>
        <xdr:cNvSpPr/>
      </xdr:nvSpPr>
      <xdr:spPr>
        <a:xfrm>
          <a:off x="1355725" y="26924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13:00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14:00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C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18</xdr:row>
      <xdr:rowOff>127000</xdr:rowOff>
    </xdr:from>
    <xdr:to>
      <xdr:col>7</xdr:col>
      <xdr:colOff>555625</xdr:colOff>
      <xdr:row>19</xdr:row>
      <xdr:rowOff>82550</xdr:rowOff>
    </xdr:to>
    <xdr:sp macro="" textlink="">
      <xdr:nvSpPr>
        <xdr:cNvPr id="132" name="group_008_under"/>
        <xdr:cNvSpPr/>
      </xdr:nvSpPr>
      <xdr:spPr>
        <a:xfrm>
          <a:off x="1355725" y="3213100"/>
          <a:ext cx="4000500" cy="1270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17</xdr:row>
      <xdr:rowOff>158750</xdr:rowOff>
    </xdr:from>
    <xdr:to>
      <xdr:col>6</xdr:col>
      <xdr:colOff>219075</xdr:colOff>
      <xdr:row>20</xdr:row>
      <xdr:rowOff>50800</xdr:rowOff>
    </xdr:to>
    <xdr:sp macro="" textlink="">
      <xdr:nvSpPr>
        <xdr:cNvPr id="133" name="group_008_text"/>
        <xdr:cNvSpPr/>
      </xdr:nvSpPr>
      <xdr:spPr>
        <a:xfrm>
          <a:off x="2378075" y="3073400"/>
          <a:ext cx="19558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528">
              <a:solidFill>
                <a:srgbClr val="000000"/>
              </a:solidFill>
              <a:latin typeface="Meiryo UI"/>
            </a:rPr>
            <a:t>斉藤優里 トレンディエンジェル</a:t>
          </a:r>
          <a:r>
            <a:rPr kumimoji="1" lang="en-US" altLang="ja-JP" sz="528">
              <a:solidFill>
                <a:srgbClr val="000000"/>
              </a:solidFill>
              <a:latin typeface="Meiryo UI"/>
            </a:rPr>
            <a:t>MC</a:t>
          </a:r>
          <a:endParaRPr kumimoji="1" lang="ja-JP" altLang="en-US" sz="528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17</xdr:row>
      <xdr:rowOff>158750</xdr:rowOff>
    </xdr:from>
    <xdr:to>
      <xdr:col>7</xdr:col>
      <xdr:colOff>155575</xdr:colOff>
      <xdr:row>20</xdr:row>
      <xdr:rowOff>50800</xdr:rowOff>
    </xdr:to>
    <xdr:sp macro="" textlink="">
      <xdr:nvSpPr>
        <xdr:cNvPr id="134" name="group_008_time"/>
        <xdr:cNvSpPr/>
      </xdr:nvSpPr>
      <xdr:spPr>
        <a:xfrm>
          <a:off x="1355725" y="3073400"/>
          <a:ext cx="360045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12:50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13:00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17</xdr:row>
      <xdr:rowOff>158750</xdr:rowOff>
    </xdr:from>
    <xdr:to>
      <xdr:col>7</xdr:col>
      <xdr:colOff>555625</xdr:colOff>
      <xdr:row>20</xdr:row>
      <xdr:rowOff>50800</xdr:rowOff>
    </xdr:to>
    <xdr:sp macro="" textlink="">
      <xdr:nvSpPr>
        <xdr:cNvPr id="135" name="group_008_sp_time"/>
        <xdr:cNvSpPr/>
      </xdr:nvSpPr>
      <xdr:spPr>
        <a:xfrm>
          <a:off x="1355725" y="3073400"/>
          <a:ext cx="40005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ja-JP" altLang="en-US" sz="800">
              <a:solidFill>
                <a:srgbClr val="000000"/>
              </a:solidFill>
              <a:latin typeface="Meiryo UI"/>
            </a:rPr>
            <a:t>  </a:t>
          </a:r>
        </a:p>
      </xdr:txBody>
    </xdr:sp>
    <xdr:clientData/>
  </xdr:twoCellAnchor>
  <xdr:twoCellAnchor>
    <xdr:from>
      <xdr:col>1</xdr:col>
      <xdr:colOff>669925</xdr:colOff>
      <xdr:row>19</xdr:row>
      <xdr:rowOff>107950</xdr:rowOff>
    </xdr:from>
    <xdr:to>
      <xdr:col>7</xdr:col>
      <xdr:colOff>555625</xdr:colOff>
      <xdr:row>21</xdr:row>
      <xdr:rowOff>120650</xdr:rowOff>
    </xdr:to>
    <xdr:sp macro="" textlink="">
      <xdr:nvSpPr>
        <xdr:cNvPr id="137" name="group_009_under"/>
        <xdr:cNvSpPr/>
      </xdr:nvSpPr>
      <xdr:spPr>
        <a:xfrm>
          <a:off x="1355725" y="3365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18</xdr:row>
      <xdr:rowOff>139700</xdr:rowOff>
    </xdr:from>
    <xdr:to>
      <xdr:col>6</xdr:col>
      <xdr:colOff>219075</xdr:colOff>
      <xdr:row>22</xdr:row>
      <xdr:rowOff>88900</xdr:rowOff>
    </xdr:to>
    <xdr:sp macro="" textlink="">
      <xdr:nvSpPr>
        <xdr:cNvPr id="138" name="group_009_text"/>
        <xdr:cNvSpPr/>
      </xdr:nvSpPr>
      <xdr:spPr>
        <a:xfrm>
          <a:off x="2378075" y="3225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なみだ色の消しごむ</a:t>
          </a:r>
        </a:p>
      </xdr:txBody>
    </xdr:sp>
    <xdr:clientData/>
  </xdr:twoCellAnchor>
  <xdr:twoCellAnchor>
    <xdr:from>
      <xdr:col>1</xdr:col>
      <xdr:colOff>669925</xdr:colOff>
      <xdr:row>18</xdr:row>
      <xdr:rowOff>139700</xdr:rowOff>
    </xdr:from>
    <xdr:to>
      <xdr:col>7</xdr:col>
      <xdr:colOff>155575</xdr:colOff>
      <xdr:row>22</xdr:row>
      <xdr:rowOff>88900</xdr:rowOff>
    </xdr:to>
    <xdr:sp macro="" textlink="">
      <xdr:nvSpPr>
        <xdr:cNvPr id="139" name="group_009_time"/>
        <xdr:cNvSpPr/>
      </xdr:nvSpPr>
      <xdr:spPr>
        <a:xfrm>
          <a:off x="1355725" y="3225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13:00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13:25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18</xdr:row>
      <xdr:rowOff>139700</xdr:rowOff>
    </xdr:from>
    <xdr:to>
      <xdr:col>7</xdr:col>
      <xdr:colOff>555625</xdr:colOff>
      <xdr:row>22</xdr:row>
      <xdr:rowOff>88900</xdr:rowOff>
    </xdr:to>
    <xdr:sp macro="" textlink="">
      <xdr:nvSpPr>
        <xdr:cNvPr id="140" name="group_009_sp_time"/>
        <xdr:cNvSpPr/>
      </xdr:nvSpPr>
      <xdr:spPr>
        <a:xfrm>
          <a:off x="1355725" y="3225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13:35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14:35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21</xdr:row>
      <xdr:rowOff>146050</xdr:rowOff>
    </xdr:from>
    <xdr:to>
      <xdr:col>7</xdr:col>
      <xdr:colOff>555625</xdr:colOff>
      <xdr:row>23</xdr:row>
      <xdr:rowOff>158750</xdr:rowOff>
    </xdr:to>
    <xdr:sp macro="" textlink="">
      <xdr:nvSpPr>
        <xdr:cNvPr id="142" name="group_010_under"/>
        <xdr:cNvSpPr/>
      </xdr:nvSpPr>
      <xdr:spPr>
        <a:xfrm>
          <a:off x="1355725" y="3746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21</xdr:row>
      <xdr:rowOff>6350</xdr:rowOff>
    </xdr:from>
    <xdr:to>
      <xdr:col>6</xdr:col>
      <xdr:colOff>219075</xdr:colOff>
      <xdr:row>24</xdr:row>
      <xdr:rowOff>127000</xdr:rowOff>
    </xdr:to>
    <xdr:sp macro="" textlink="">
      <xdr:nvSpPr>
        <xdr:cNvPr id="143" name="group_010_text"/>
        <xdr:cNvSpPr/>
      </xdr:nvSpPr>
      <xdr:spPr>
        <a:xfrm>
          <a:off x="2378075" y="3606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ナナランド</a:t>
          </a:r>
        </a:p>
      </xdr:txBody>
    </xdr:sp>
    <xdr:clientData/>
  </xdr:twoCellAnchor>
  <xdr:twoCellAnchor>
    <xdr:from>
      <xdr:col>1</xdr:col>
      <xdr:colOff>669925</xdr:colOff>
      <xdr:row>21</xdr:row>
      <xdr:rowOff>6350</xdr:rowOff>
    </xdr:from>
    <xdr:to>
      <xdr:col>7</xdr:col>
      <xdr:colOff>155575</xdr:colOff>
      <xdr:row>24</xdr:row>
      <xdr:rowOff>127000</xdr:rowOff>
    </xdr:to>
    <xdr:sp macro="" textlink="">
      <xdr:nvSpPr>
        <xdr:cNvPr id="144" name="group_010_time"/>
        <xdr:cNvSpPr/>
      </xdr:nvSpPr>
      <xdr:spPr>
        <a:xfrm>
          <a:off x="1355725" y="3606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13:25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13:50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21</xdr:row>
      <xdr:rowOff>6350</xdr:rowOff>
    </xdr:from>
    <xdr:to>
      <xdr:col>7</xdr:col>
      <xdr:colOff>555625</xdr:colOff>
      <xdr:row>24</xdr:row>
      <xdr:rowOff>127000</xdr:rowOff>
    </xdr:to>
    <xdr:sp macro="" textlink="">
      <xdr:nvSpPr>
        <xdr:cNvPr id="145" name="group_010_sp_time"/>
        <xdr:cNvSpPr/>
      </xdr:nvSpPr>
      <xdr:spPr>
        <a:xfrm>
          <a:off x="1355725" y="3606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14:00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15:00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24</xdr:row>
      <xdr:rowOff>12700</xdr:rowOff>
    </xdr:from>
    <xdr:to>
      <xdr:col>7</xdr:col>
      <xdr:colOff>555625</xdr:colOff>
      <xdr:row>26</xdr:row>
      <xdr:rowOff>25400</xdr:rowOff>
    </xdr:to>
    <xdr:sp macro="" textlink="">
      <xdr:nvSpPr>
        <xdr:cNvPr id="147" name="group_011_under"/>
        <xdr:cNvSpPr/>
      </xdr:nvSpPr>
      <xdr:spPr>
        <a:xfrm>
          <a:off x="1355725" y="4127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23</xdr:row>
      <xdr:rowOff>44450</xdr:rowOff>
    </xdr:from>
    <xdr:to>
      <xdr:col>6</xdr:col>
      <xdr:colOff>219075</xdr:colOff>
      <xdr:row>26</xdr:row>
      <xdr:rowOff>165100</xdr:rowOff>
    </xdr:to>
    <xdr:sp macro="" textlink="">
      <xdr:nvSpPr>
        <xdr:cNvPr id="148" name="group_011_text"/>
        <xdr:cNvSpPr/>
      </xdr:nvSpPr>
      <xdr:spPr>
        <a:xfrm>
          <a:off x="2378075" y="3987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キングサリ</a:t>
          </a:r>
        </a:p>
      </xdr:txBody>
    </xdr:sp>
    <xdr:clientData/>
  </xdr:twoCellAnchor>
  <xdr:twoCellAnchor>
    <xdr:from>
      <xdr:col>1</xdr:col>
      <xdr:colOff>669925</xdr:colOff>
      <xdr:row>23</xdr:row>
      <xdr:rowOff>44450</xdr:rowOff>
    </xdr:from>
    <xdr:to>
      <xdr:col>7</xdr:col>
      <xdr:colOff>155575</xdr:colOff>
      <xdr:row>26</xdr:row>
      <xdr:rowOff>165100</xdr:rowOff>
    </xdr:to>
    <xdr:sp macro="" textlink="">
      <xdr:nvSpPr>
        <xdr:cNvPr id="149" name="group_011_time"/>
        <xdr:cNvSpPr/>
      </xdr:nvSpPr>
      <xdr:spPr>
        <a:xfrm>
          <a:off x="1355725" y="3987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13:50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14:15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23</xdr:row>
      <xdr:rowOff>44450</xdr:rowOff>
    </xdr:from>
    <xdr:to>
      <xdr:col>7</xdr:col>
      <xdr:colOff>555625</xdr:colOff>
      <xdr:row>26</xdr:row>
      <xdr:rowOff>165100</xdr:rowOff>
    </xdr:to>
    <xdr:sp macro="" textlink="">
      <xdr:nvSpPr>
        <xdr:cNvPr id="150" name="group_011_sp_time"/>
        <xdr:cNvSpPr/>
      </xdr:nvSpPr>
      <xdr:spPr>
        <a:xfrm>
          <a:off x="1355725" y="3987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14:25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15:25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C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26</xdr:row>
      <xdr:rowOff>50800</xdr:rowOff>
    </xdr:from>
    <xdr:to>
      <xdr:col>7</xdr:col>
      <xdr:colOff>555625</xdr:colOff>
      <xdr:row>28</xdr:row>
      <xdr:rowOff>63500</xdr:rowOff>
    </xdr:to>
    <xdr:sp macro="" textlink="">
      <xdr:nvSpPr>
        <xdr:cNvPr id="152" name="group_012_under"/>
        <xdr:cNvSpPr/>
      </xdr:nvSpPr>
      <xdr:spPr>
        <a:xfrm>
          <a:off x="1355725" y="4508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25</xdr:row>
      <xdr:rowOff>82550</xdr:rowOff>
    </xdr:from>
    <xdr:to>
      <xdr:col>6</xdr:col>
      <xdr:colOff>219075</xdr:colOff>
      <xdr:row>29</xdr:row>
      <xdr:rowOff>31750</xdr:rowOff>
    </xdr:to>
    <xdr:sp macro="" textlink="">
      <xdr:nvSpPr>
        <xdr:cNvPr id="153" name="group_012_text"/>
        <xdr:cNvSpPr/>
      </xdr:nvSpPr>
      <xdr:spPr>
        <a:xfrm>
          <a:off x="2378075" y="4368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THE ORCHESTRA TOKYO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25</xdr:row>
      <xdr:rowOff>82550</xdr:rowOff>
    </xdr:from>
    <xdr:to>
      <xdr:col>7</xdr:col>
      <xdr:colOff>155575</xdr:colOff>
      <xdr:row>29</xdr:row>
      <xdr:rowOff>31750</xdr:rowOff>
    </xdr:to>
    <xdr:sp macro="" textlink="">
      <xdr:nvSpPr>
        <xdr:cNvPr id="154" name="group_012_time"/>
        <xdr:cNvSpPr/>
      </xdr:nvSpPr>
      <xdr:spPr>
        <a:xfrm>
          <a:off x="1355725" y="4368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14:15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14:40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25</xdr:row>
      <xdr:rowOff>82550</xdr:rowOff>
    </xdr:from>
    <xdr:to>
      <xdr:col>7</xdr:col>
      <xdr:colOff>555625</xdr:colOff>
      <xdr:row>29</xdr:row>
      <xdr:rowOff>31750</xdr:rowOff>
    </xdr:to>
    <xdr:sp macro="" textlink="">
      <xdr:nvSpPr>
        <xdr:cNvPr id="155" name="group_012_sp_time"/>
        <xdr:cNvSpPr/>
      </xdr:nvSpPr>
      <xdr:spPr>
        <a:xfrm>
          <a:off x="1355725" y="4368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14:50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15:50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28</xdr:row>
      <xdr:rowOff>88900</xdr:rowOff>
    </xdr:from>
    <xdr:to>
      <xdr:col>7</xdr:col>
      <xdr:colOff>555625</xdr:colOff>
      <xdr:row>29</xdr:row>
      <xdr:rowOff>44450</xdr:rowOff>
    </xdr:to>
    <xdr:sp macro="" textlink="">
      <xdr:nvSpPr>
        <xdr:cNvPr id="157" name="group_013_under"/>
        <xdr:cNvSpPr/>
      </xdr:nvSpPr>
      <xdr:spPr>
        <a:xfrm>
          <a:off x="1355725" y="4889500"/>
          <a:ext cx="4000500" cy="1270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27</xdr:row>
      <xdr:rowOff>120650</xdr:rowOff>
    </xdr:from>
    <xdr:to>
      <xdr:col>6</xdr:col>
      <xdr:colOff>219075</xdr:colOff>
      <xdr:row>30</xdr:row>
      <xdr:rowOff>12700</xdr:rowOff>
    </xdr:to>
    <xdr:sp macro="" textlink="">
      <xdr:nvSpPr>
        <xdr:cNvPr id="158" name="group_013_text"/>
        <xdr:cNvSpPr/>
      </xdr:nvSpPr>
      <xdr:spPr>
        <a:xfrm>
          <a:off x="2378075" y="4749800"/>
          <a:ext cx="19558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528">
              <a:solidFill>
                <a:srgbClr val="000000"/>
              </a:solidFill>
              <a:latin typeface="Meiryo UI"/>
            </a:rPr>
            <a:t>斉藤優里 トレンディエンジェル</a:t>
          </a:r>
          <a:r>
            <a:rPr kumimoji="1" lang="en-US" altLang="ja-JP" sz="528">
              <a:solidFill>
                <a:srgbClr val="000000"/>
              </a:solidFill>
              <a:latin typeface="Meiryo UI"/>
            </a:rPr>
            <a:t>MC</a:t>
          </a:r>
          <a:endParaRPr kumimoji="1" lang="ja-JP" altLang="en-US" sz="528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27</xdr:row>
      <xdr:rowOff>120650</xdr:rowOff>
    </xdr:from>
    <xdr:to>
      <xdr:col>7</xdr:col>
      <xdr:colOff>155575</xdr:colOff>
      <xdr:row>30</xdr:row>
      <xdr:rowOff>12700</xdr:rowOff>
    </xdr:to>
    <xdr:sp macro="" textlink="">
      <xdr:nvSpPr>
        <xdr:cNvPr id="159" name="group_013_time"/>
        <xdr:cNvSpPr/>
      </xdr:nvSpPr>
      <xdr:spPr>
        <a:xfrm>
          <a:off x="1355725" y="4749800"/>
          <a:ext cx="360045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14:40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14:50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27</xdr:row>
      <xdr:rowOff>120650</xdr:rowOff>
    </xdr:from>
    <xdr:to>
      <xdr:col>7</xdr:col>
      <xdr:colOff>555625</xdr:colOff>
      <xdr:row>30</xdr:row>
      <xdr:rowOff>12700</xdr:rowOff>
    </xdr:to>
    <xdr:sp macro="" textlink="">
      <xdr:nvSpPr>
        <xdr:cNvPr id="160" name="group_013_sp_time"/>
        <xdr:cNvSpPr/>
      </xdr:nvSpPr>
      <xdr:spPr>
        <a:xfrm>
          <a:off x="1355725" y="4749800"/>
          <a:ext cx="40005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ja-JP" altLang="en-US" sz="800">
              <a:solidFill>
                <a:srgbClr val="000000"/>
              </a:solidFill>
              <a:latin typeface="Meiryo UI"/>
            </a:rPr>
            <a:t>  </a:t>
          </a:r>
        </a:p>
      </xdr:txBody>
    </xdr:sp>
    <xdr:clientData/>
  </xdr:twoCellAnchor>
  <xdr:twoCellAnchor>
    <xdr:from>
      <xdr:col>1</xdr:col>
      <xdr:colOff>669925</xdr:colOff>
      <xdr:row>29</xdr:row>
      <xdr:rowOff>69850</xdr:rowOff>
    </xdr:from>
    <xdr:to>
      <xdr:col>7</xdr:col>
      <xdr:colOff>555625</xdr:colOff>
      <xdr:row>31</xdr:row>
      <xdr:rowOff>82550</xdr:rowOff>
    </xdr:to>
    <xdr:sp macro="" textlink="">
      <xdr:nvSpPr>
        <xdr:cNvPr id="162" name="group_014_under"/>
        <xdr:cNvSpPr/>
      </xdr:nvSpPr>
      <xdr:spPr>
        <a:xfrm>
          <a:off x="1355725" y="50419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28</xdr:row>
      <xdr:rowOff>101600</xdr:rowOff>
    </xdr:from>
    <xdr:to>
      <xdr:col>6</xdr:col>
      <xdr:colOff>219075</xdr:colOff>
      <xdr:row>32</xdr:row>
      <xdr:rowOff>50800</xdr:rowOff>
    </xdr:to>
    <xdr:sp macro="" textlink="">
      <xdr:nvSpPr>
        <xdr:cNvPr id="163" name="group_014_text"/>
        <xdr:cNvSpPr/>
      </xdr:nvSpPr>
      <xdr:spPr>
        <a:xfrm>
          <a:off x="2378075" y="49022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MyDearDarlin'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28</xdr:row>
      <xdr:rowOff>101600</xdr:rowOff>
    </xdr:from>
    <xdr:to>
      <xdr:col>7</xdr:col>
      <xdr:colOff>155575</xdr:colOff>
      <xdr:row>32</xdr:row>
      <xdr:rowOff>50800</xdr:rowOff>
    </xdr:to>
    <xdr:sp macro="" textlink="">
      <xdr:nvSpPr>
        <xdr:cNvPr id="164" name="group_014_time"/>
        <xdr:cNvSpPr/>
      </xdr:nvSpPr>
      <xdr:spPr>
        <a:xfrm>
          <a:off x="1355725" y="49022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14:50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15:15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28</xdr:row>
      <xdr:rowOff>101600</xdr:rowOff>
    </xdr:from>
    <xdr:to>
      <xdr:col>7</xdr:col>
      <xdr:colOff>555625</xdr:colOff>
      <xdr:row>32</xdr:row>
      <xdr:rowOff>50800</xdr:rowOff>
    </xdr:to>
    <xdr:sp macro="" textlink="">
      <xdr:nvSpPr>
        <xdr:cNvPr id="165" name="group_014_sp_time"/>
        <xdr:cNvSpPr/>
      </xdr:nvSpPr>
      <xdr:spPr>
        <a:xfrm>
          <a:off x="1355725" y="49022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15:25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16:25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31</xdr:row>
      <xdr:rowOff>107950</xdr:rowOff>
    </xdr:from>
    <xdr:to>
      <xdr:col>7</xdr:col>
      <xdr:colOff>555625</xdr:colOff>
      <xdr:row>33</xdr:row>
      <xdr:rowOff>120650</xdr:rowOff>
    </xdr:to>
    <xdr:sp macro="" textlink="">
      <xdr:nvSpPr>
        <xdr:cNvPr id="167" name="group_015_under"/>
        <xdr:cNvSpPr/>
      </xdr:nvSpPr>
      <xdr:spPr>
        <a:xfrm>
          <a:off x="1355725" y="54229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30</xdr:row>
      <xdr:rowOff>139700</xdr:rowOff>
    </xdr:from>
    <xdr:to>
      <xdr:col>6</xdr:col>
      <xdr:colOff>219075</xdr:colOff>
      <xdr:row>34</xdr:row>
      <xdr:rowOff>88900</xdr:rowOff>
    </xdr:to>
    <xdr:sp macro="" textlink="">
      <xdr:nvSpPr>
        <xdr:cNvPr id="168" name="group_015_text"/>
        <xdr:cNvSpPr/>
      </xdr:nvSpPr>
      <xdr:spPr>
        <a:xfrm>
          <a:off x="2378075" y="52832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NEO JAPONISM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30</xdr:row>
      <xdr:rowOff>139700</xdr:rowOff>
    </xdr:from>
    <xdr:to>
      <xdr:col>7</xdr:col>
      <xdr:colOff>155575</xdr:colOff>
      <xdr:row>34</xdr:row>
      <xdr:rowOff>88900</xdr:rowOff>
    </xdr:to>
    <xdr:sp macro="" textlink="">
      <xdr:nvSpPr>
        <xdr:cNvPr id="169" name="group_015_time"/>
        <xdr:cNvSpPr/>
      </xdr:nvSpPr>
      <xdr:spPr>
        <a:xfrm>
          <a:off x="1355725" y="52832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15:15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15:40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30</xdr:row>
      <xdr:rowOff>139700</xdr:rowOff>
    </xdr:from>
    <xdr:to>
      <xdr:col>7</xdr:col>
      <xdr:colOff>555625</xdr:colOff>
      <xdr:row>34</xdr:row>
      <xdr:rowOff>88900</xdr:rowOff>
    </xdr:to>
    <xdr:sp macro="" textlink="">
      <xdr:nvSpPr>
        <xdr:cNvPr id="170" name="group_015_sp_time"/>
        <xdr:cNvSpPr/>
      </xdr:nvSpPr>
      <xdr:spPr>
        <a:xfrm>
          <a:off x="1355725" y="52832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15:50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16:50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C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33</xdr:row>
      <xdr:rowOff>146050</xdr:rowOff>
    </xdr:from>
    <xdr:to>
      <xdr:col>7</xdr:col>
      <xdr:colOff>555625</xdr:colOff>
      <xdr:row>35</xdr:row>
      <xdr:rowOff>158750</xdr:rowOff>
    </xdr:to>
    <xdr:sp macro="" textlink="">
      <xdr:nvSpPr>
        <xdr:cNvPr id="172" name="group_016_under"/>
        <xdr:cNvSpPr/>
      </xdr:nvSpPr>
      <xdr:spPr>
        <a:xfrm>
          <a:off x="1355725" y="58039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33</xdr:row>
      <xdr:rowOff>6350</xdr:rowOff>
    </xdr:from>
    <xdr:to>
      <xdr:col>6</xdr:col>
      <xdr:colOff>219075</xdr:colOff>
      <xdr:row>36</xdr:row>
      <xdr:rowOff>127000</xdr:rowOff>
    </xdr:to>
    <xdr:sp macro="" textlink="">
      <xdr:nvSpPr>
        <xdr:cNvPr id="173" name="group_016_text"/>
        <xdr:cNvSpPr/>
      </xdr:nvSpPr>
      <xdr:spPr>
        <a:xfrm>
          <a:off x="2378075" y="56642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Kolokol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33</xdr:row>
      <xdr:rowOff>6350</xdr:rowOff>
    </xdr:from>
    <xdr:to>
      <xdr:col>7</xdr:col>
      <xdr:colOff>155575</xdr:colOff>
      <xdr:row>36</xdr:row>
      <xdr:rowOff>127000</xdr:rowOff>
    </xdr:to>
    <xdr:sp macro="" textlink="">
      <xdr:nvSpPr>
        <xdr:cNvPr id="174" name="group_016_time"/>
        <xdr:cNvSpPr/>
      </xdr:nvSpPr>
      <xdr:spPr>
        <a:xfrm>
          <a:off x="1355725" y="56642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15:40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16:05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33</xdr:row>
      <xdr:rowOff>6350</xdr:rowOff>
    </xdr:from>
    <xdr:to>
      <xdr:col>7</xdr:col>
      <xdr:colOff>555625</xdr:colOff>
      <xdr:row>36</xdr:row>
      <xdr:rowOff>127000</xdr:rowOff>
    </xdr:to>
    <xdr:sp macro="" textlink="">
      <xdr:nvSpPr>
        <xdr:cNvPr id="175" name="group_016_sp_time"/>
        <xdr:cNvSpPr/>
      </xdr:nvSpPr>
      <xdr:spPr>
        <a:xfrm>
          <a:off x="1355725" y="56642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16:15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17:15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36</xdr:row>
      <xdr:rowOff>12700</xdr:rowOff>
    </xdr:from>
    <xdr:to>
      <xdr:col>7</xdr:col>
      <xdr:colOff>555625</xdr:colOff>
      <xdr:row>38</xdr:row>
      <xdr:rowOff>25400</xdr:rowOff>
    </xdr:to>
    <xdr:sp macro="" textlink="">
      <xdr:nvSpPr>
        <xdr:cNvPr id="177" name="group_017_under"/>
        <xdr:cNvSpPr/>
      </xdr:nvSpPr>
      <xdr:spPr>
        <a:xfrm>
          <a:off x="1355725" y="61849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35</xdr:row>
      <xdr:rowOff>44450</xdr:rowOff>
    </xdr:from>
    <xdr:to>
      <xdr:col>6</xdr:col>
      <xdr:colOff>219075</xdr:colOff>
      <xdr:row>38</xdr:row>
      <xdr:rowOff>165100</xdr:rowOff>
    </xdr:to>
    <xdr:sp macro="" textlink="">
      <xdr:nvSpPr>
        <xdr:cNvPr id="178" name="group_017_text"/>
        <xdr:cNvSpPr/>
      </xdr:nvSpPr>
      <xdr:spPr>
        <a:xfrm>
          <a:off x="2378075" y="60452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INUWASI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35</xdr:row>
      <xdr:rowOff>44450</xdr:rowOff>
    </xdr:from>
    <xdr:to>
      <xdr:col>7</xdr:col>
      <xdr:colOff>155575</xdr:colOff>
      <xdr:row>38</xdr:row>
      <xdr:rowOff>165100</xdr:rowOff>
    </xdr:to>
    <xdr:sp macro="" textlink="">
      <xdr:nvSpPr>
        <xdr:cNvPr id="179" name="group_017_time"/>
        <xdr:cNvSpPr/>
      </xdr:nvSpPr>
      <xdr:spPr>
        <a:xfrm>
          <a:off x="1355725" y="60452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16:05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16:30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35</xdr:row>
      <xdr:rowOff>44450</xdr:rowOff>
    </xdr:from>
    <xdr:to>
      <xdr:col>7</xdr:col>
      <xdr:colOff>555625</xdr:colOff>
      <xdr:row>38</xdr:row>
      <xdr:rowOff>165100</xdr:rowOff>
    </xdr:to>
    <xdr:sp macro="" textlink="">
      <xdr:nvSpPr>
        <xdr:cNvPr id="180" name="group_017_sp_time"/>
        <xdr:cNvSpPr/>
      </xdr:nvSpPr>
      <xdr:spPr>
        <a:xfrm>
          <a:off x="1355725" y="60452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16:40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17:40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38</xdr:row>
      <xdr:rowOff>50800</xdr:rowOff>
    </xdr:from>
    <xdr:to>
      <xdr:col>7</xdr:col>
      <xdr:colOff>555625</xdr:colOff>
      <xdr:row>39</xdr:row>
      <xdr:rowOff>6350</xdr:rowOff>
    </xdr:to>
    <xdr:sp macro="" textlink="">
      <xdr:nvSpPr>
        <xdr:cNvPr id="182" name="group_018_under"/>
        <xdr:cNvSpPr/>
      </xdr:nvSpPr>
      <xdr:spPr>
        <a:xfrm>
          <a:off x="1355725" y="6565900"/>
          <a:ext cx="4000500" cy="1270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37</xdr:row>
      <xdr:rowOff>82550</xdr:rowOff>
    </xdr:from>
    <xdr:to>
      <xdr:col>6</xdr:col>
      <xdr:colOff>219075</xdr:colOff>
      <xdr:row>39</xdr:row>
      <xdr:rowOff>146050</xdr:rowOff>
    </xdr:to>
    <xdr:sp macro="" textlink="">
      <xdr:nvSpPr>
        <xdr:cNvPr id="183" name="group_018_text"/>
        <xdr:cNvSpPr/>
      </xdr:nvSpPr>
      <xdr:spPr>
        <a:xfrm>
          <a:off x="2378075" y="6426200"/>
          <a:ext cx="19558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528">
              <a:solidFill>
                <a:srgbClr val="000000"/>
              </a:solidFill>
              <a:latin typeface="Meiryo UI"/>
            </a:rPr>
            <a:t>斉藤優里 トレンディエンジェル</a:t>
          </a:r>
          <a:r>
            <a:rPr kumimoji="1" lang="en-US" altLang="ja-JP" sz="528">
              <a:solidFill>
                <a:srgbClr val="000000"/>
              </a:solidFill>
              <a:latin typeface="Meiryo UI"/>
            </a:rPr>
            <a:t>MC</a:t>
          </a:r>
          <a:endParaRPr kumimoji="1" lang="ja-JP" altLang="en-US" sz="528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37</xdr:row>
      <xdr:rowOff>82550</xdr:rowOff>
    </xdr:from>
    <xdr:to>
      <xdr:col>7</xdr:col>
      <xdr:colOff>155575</xdr:colOff>
      <xdr:row>39</xdr:row>
      <xdr:rowOff>146050</xdr:rowOff>
    </xdr:to>
    <xdr:sp macro="" textlink="">
      <xdr:nvSpPr>
        <xdr:cNvPr id="184" name="group_018_time"/>
        <xdr:cNvSpPr/>
      </xdr:nvSpPr>
      <xdr:spPr>
        <a:xfrm>
          <a:off x="1355725" y="6426200"/>
          <a:ext cx="360045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16:30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16:40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37</xdr:row>
      <xdr:rowOff>82550</xdr:rowOff>
    </xdr:from>
    <xdr:to>
      <xdr:col>7</xdr:col>
      <xdr:colOff>555625</xdr:colOff>
      <xdr:row>39</xdr:row>
      <xdr:rowOff>146050</xdr:rowOff>
    </xdr:to>
    <xdr:sp macro="" textlink="">
      <xdr:nvSpPr>
        <xdr:cNvPr id="185" name="group_018_sp_time"/>
        <xdr:cNvSpPr/>
      </xdr:nvSpPr>
      <xdr:spPr>
        <a:xfrm>
          <a:off x="1355725" y="6426200"/>
          <a:ext cx="40005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ja-JP" altLang="en-US" sz="800">
              <a:solidFill>
                <a:srgbClr val="000000"/>
              </a:solidFill>
              <a:latin typeface="Meiryo UI"/>
            </a:rPr>
            <a:t>  </a:t>
          </a:r>
        </a:p>
      </xdr:txBody>
    </xdr:sp>
    <xdr:clientData/>
  </xdr:twoCellAnchor>
  <xdr:twoCellAnchor>
    <xdr:from>
      <xdr:col>1</xdr:col>
      <xdr:colOff>669925</xdr:colOff>
      <xdr:row>39</xdr:row>
      <xdr:rowOff>31750</xdr:rowOff>
    </xdr:from>
    <xdr:to>
      <xdr:col>7</xdr:col>
      <xdr:colOff>555625</xdr:colOff>
      <xdr:row>41</xdr:row>
      <xdr:rowOff>120650</xdr:rowOff>
    </xdr:to>
    <xdr:sp macro="" textlink="">
      <xdr:nvSpPr>
        <xdr:cNvPr id="187" name="group_019_under"/>
        <xdr:cNvSpPr/>
      </xdr:nvSpPr>
      <xdr:spPr>
        <a:xfrm>
          <a:off x="1355725" y="6718300"/>
          <a:ext cx="4000500" cy="4318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38</xdr:row>
      <xdr:rowOff>63500</xdr:rowOff>
    </xdr:from>
    <xdr:to>
      <xdr:col>6</xdr:col>
      <xdr:colOff>219075</xdr:colOff>
      <xdr:row>42</xdr:row>
      <xdr:rowOff>88900</xdr:rowOff>
    </xdr:to>
    <xdr:sp macro="" textlink="">
      <xdr:nvSpPr>
        <xdr:cNvPr id="188" name="group_019_text"/>
        <xdr:cNvSpPr/>
      </xdr:nvSpPr>
      <xdr:spPr>
        <a:xfrm>
          <a:off x="2378075" y="6578600"/>
          <a:ext cx="19558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まねきケチャ</a:t>
          </a:r>
        </a:p>
      </xdr:txBody>
    </xdr:sp>
    <xdr:clientData/>
  </xdr:twoCellAnchor>
  <xdr:twoCellAnchor>
    <xdr:from>
      <xdr:col>1</xdr:col>
      <xdr:colOff>669925</xdr:colOff>
      <xdr:row>38</xdr:row>
      <xdr:rowOff>63500</xdr:rowOff>
    </xdr:from>
    <xdr:to>
      <xdr:col>7</xdr:col>
      <xdr:colOff>155575</xdr:colOff>
      <xdr:row>42</xdr:row>
      <xdr:rowOff>88900</xdr:rowOff>
    </xdr:to>
    <xdr:sp macro="" textlink="">
      <xdr:nvSpPr>
        <xdr:cNvPr id="189" name="group_019_time"/>
        <xdr:cNvSpPr/>
      </xdr:nvSpPr>
      <xdr:spPr>
        <a:xfrm>
          <a:off x="1355725" y="6578600"/>
          <a:ext cx="360045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16:40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17:10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38</xdr:row>
      <xdr:rowOff>63500</xdr:rowOff>
    </xdr:from>
    <xdr:to>
      <xdr:col>7</xdr:col>
      <xdr:colOff>555625</xdr:colOff>
      <xdr:row>42</xdr:row>
      <xdr:rowOff>88900</xdr:rowOff>
    </xdr:to>
    <xdr:sp macro="" textlink="">
      <xdr:nvSpPr>
        <xdr:cNvPr id="190" name="group_019_sp_time"/>
        <xdr:cNvSpPr/>
      </xdr:nvSpPr>
      <xdr:spPr>
        <a:xfrm>
          <a:off x="1355725" y="6578600"/>
          <a:ext cx="40005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17:20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18:20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C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41</xdr:row>
      <xdr:rowOff>146050</xdr:rowOff>
    </xdr:from>
    <xdr:to>
      <xdr:col>7</xdr:col>
      <xdr:colOff>555625</xdr:colOff>
      <xdr:row>43</xdr:row>
      <xdr:rowOff>158750</xdr:rowOff>
    </xdr:to>
    <xdr:sp macro="" textlink="">
      <xdr:nvSpPr>
        <xdr:cNvPr id="192" name="group_020_under"/>
        <xdr:cNvSpPr/>
      </xdr:nvSpPr>
      <xdr:spPr>
        <a:xfrm>
          <a:off x="1355725" y="7175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41</xdr:row>
      <xdr:rowOff>6350</xdr:rowOff>
    </xdr:from>
    <xdr:to>
      <xdr:col>6</xdr:col>
      <xdr:colOff>219075</xdr:colOff>
      <xdr:row>44</xdr:row>
      <xdr:rowOff>127000</xdr:rowOff>
    </xdr:to>
    <xdr:sp macro="" textlink="">
      <xdr:nvSpPr>
        <xdr:cNvPr id="193" name="group_020_text"/>
        <xdr:cNvSpPr/>
      </xdr:nvSpPr>
      <xdr:spPr>
        <a:xfrm>
          <a:off x="2378075" y="7035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Peel the Apple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41</xdr:row>
      <xdr:rowOff>6350</xdr:rowOff>
    </xdr:from>
    <xdr:to>
      <xdr:col>7</xdr:col>
      <xdr:colOff>155575</xdr:colOff>
      <xdr:row>44</xdr:row>
      <xdr:rowOff>127000</xdr:rowOff>
    </xdr:to>
    <xdr:sp macro="" textlink="">
      <xdr:nvSpPr>
        <xdr:cNvPr id="194" name="group_020_time"/>
        <xdr:cNvSpPr/>
      </xdr:nvSpPr>
      <xdr:spPr>
        <a:xfrm>
          <a:off x="1355725" y="7035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17:10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17:35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41</xdr:row>
      <xdr:rowOff>6350</xdr:rowOff>
    </xdr:from>
    <xdr:to>
      <xdr:col>7</xdr:col>
      <xdr:colOff>555625</xdr:colOff>
      <xdr:row>44</xdr:row>
      <xdr:rowOff>127000</xdr:rowOff>
    </xdr:to>
    <xdr:sp macro="" textlink="">
      <xdr:nvSpPr>
        <xdr:cNvPr id="195" name="group_020_sp_time"/>
        <xdr:cNvSpPr/>
      </xdr:nvSpPr>
      <xdr:spPr>
        <a:xfrm>
          <a:off x="1355725" y="7035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17:45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18:45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44</xdr:row>
      <xdr:rowOff>12700</xdr:rowOff>
    </xdr:from>
    <xdr:to>
      <xdr:col>7</xdr:col>
      <xdr:colOff>555625</xdr:colOff>
      <xdr:row>46</xdr:row>
      <xdr:rowOff>25400</xdr:rowOff>
    </xdr:to>
    <xdr:sp macro="" textlink="">
      <xdr:nvSpPr>
        <xdr:cNvPr id="197" name="group_021_under"/>
        <xdr:cNvSpPr/>
      </xdr:nvSpPr>
      <xdr:spPr>
        <a:xfrm>
          <a:off x="1355725" y="7556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43</xdr:row>
      <xdr:rowOff>44450</xdr:rowOff>
    </xdr:from>
    <xdr:to>
      <xdr:col>6</xdr:col>
      <xdr:colOff>219075</xdr:colOff>
      <xdr:row>46</xdr:row>
      <xdr:rowOff>165100</xdr:rowOff>
    </xdr:to>
    <xdr:sp macro="" textlink="">
      <xdr:nvSpPr>
        <xdr:cNvPr id="198" name="group_021_text"/>
        <xdr:cNvSpPr/>
      </xdr:nvSpPr>
      <xdr:spPr>
        <a:xfrm>
          <a:off x="2378075" y="7416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ラフ</a:t>
          </a:r>
          <a:r>
            <a:rPr kumimoji="1" lang="en-US" altLang="ja-JP" sz="880">
              <a:solidFill>
                <a:srgbClr val="000000"/>
              </a:solidFill>
              <a:latin typeface="Meiryo UI"/>
            </a:rPr>
            <a:t>×</a:t>
          </a:r>
          <a:r>
            <a:rPr kumimoji="1" lang="ja-JP" altLang="en-US" sz="880">
              <a:solidFill>
                <a:srgbClr val="000000"/>
              </a:solidFill>
              <a:latin typeface="Meiryo UI"/>
            </a:rPr>
            <a:t>ラフ</a:t>
          </a:r>
        </a:p>
      </xdr:txBody>
    </xdr:sp>
    <xdr:clientData/>
  </xdr:twoCellAnchor>
  <xdr:twoCellAnchor>
    <xdr:from>
      <xdr:col>1</xdr:col>
      <xdr:colOff>669925</xdr:colOff>
      <xdr:row>43</xdr:row>
      <xdr:rowOff>44450</xdr:rowOff>
    </xdr:from>
    <xdr:to>
      <xdr:col>7</xdr:col>
      <xdr:colOff>155575</xdr:colOff>
      <xdr:row>46</xdr:row>
      <xdr:rowOff>165100</xdr:rowOff>
    </xdr:to>
    <xdr:sp macro="" textlink="">
      <xdr:nvSpPr>
        <xdr:cNvPr id="199" name="group_021_time"/>
        <xdr:cNvSpPr/>
      </xdr:nvSpPr>
      <xdr:spPr>
        <a:xfrm>
          <a:off x="1355725" y="7416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17:35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18:00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43</xdr:row>
      <xdr:rowOff>44450</xdr:rowOff>
    </xdr:from>
    <xdr:to>
      <xdr:col>7</xdr:col>
      <xdr:colOff>555625</xdr:colOff>
      <xdr:row>46</xdr:row>
      <xdr:rowOff>165100</xdr:rowOff>
    </xdr:to>
    <xdr:sp macro="" textlink="">
      <xdr:nvSpPr>
        <xdr:cNvPr id="200" name="group_021_sp_time"/>
        <xdr:cNvSpPr/>
      </xdr:nvSpPr>
      <xdr:spPr>
        <a:xfrm>
          <a:off x="1355725" y="7416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18:10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19:10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46</xdr:row>
      <xdr:rowOff>50800</xdr:rowOff>
    </xdr:from>
    <xdr:to>
      <xdr:col>7</xdr:col>
      <xdr:colOff>555625</xdr:colOff>
      <xdr:row>48</xdr:row>
      <xdr:rowOff>63500</xdr:rowOff>
    </xdr:to>
    <xdr:sp macro="" textlink="">
      <xdr:nvSpPr>
        <xdr:cNvPr id="202" name="group_022_under"/>
        <xdr:cNvSpPr/>
      </xdr:nvSpPr>
      <xdr:spPr>
        <a:xfrm>
          <a:off x="1355725" y="79375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45</xdr:row>
      <xdr:rowOff>82550</xdr:rowOff>
    </xdr:from>
    <xdr:to>
      <xdr:col>6</xdr:col>
      <xdr:colOff>219075</xdr:colOff>
      <xdr:row>49</xdr:row>
      <xdr:rowOff>31750</xdr:rowOff>
    </xdr:to>
    <xdr:sp macro="" textlink="">
      <xdr:nvSpPr>
        <xdr:cNvPr id="203" name="group_022_text"/>
        <xdr:cNvSpPr/>
      </xdr:nvSpPr>
      <xdr:spPr>
        <a:xfrm>
          <a:off x="2378075" y="77978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おこさまぷれ～と</a:t>
          </a:r>
        </a:p>
      </xdr:txBody>
    </xdr:sp>
    <xdr:clientData/>
  </xdr:twoCellAnchor>
  <xdr:twoCellAnchor>
    <xdr:from>
      <xdr:col>1</xdr:col>
      <xdr:colOff>669925</xdr:colOff>
      <xdr:row>45</xdr:row>
      <xdr:rowOff>82550</xdr:rowOff>
    </xdr:from>
    <xdr:to>
      <xdr:col>7</xdr:col>
      <xdr:colOff>155575</xdr:colOff>
      <xdr:row>49</xdr:row>
      <xdr:rowOff>31750</xdr:rowOff>
    </xdr:to>
    <xdr:sp macro="" textlink="">
      <xdr:nvSpPr>
        <xdr:cNvPr id="204" name="group_022_time"/>
        <xdr:cNvSpPr/>
      </xdr:nvSpPr>
      <xdr:spPr>
        <a:xfrm>
          <a:off x="1355725" y="77978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18:00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18:25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45</xdr:row>
      <xdr:rowOff>82550</xdr:rowOff>
    </xdr:from>
    <xdr:to>
      <xdr:col>7</xdr:col>
      <xdr:colOff>555625</xdr:colOff>
      <xdr:row>49</xdr:row>
      <xdr:rowOff>31750</xdr:rowOff>
    </xdr:to>
    <xdr:sp macro="" textlink="">
      <xdr:nvSpPr>
        <xdr:cNvPr id="205" name="group_022_sp_time"/>
        <xdr:cNvSpPr/>
      </xdr:nvSpPr>
      <xdr:spPr>
        <a:xfrm>
          <a:off x="1355725" y="77978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18:35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19:35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C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48</xdr:row>
      <xdr:rowOff>88900</xdr:rowOff>
    </xdr:from>
    <xdr:to>
      <xdr:col>7</xdr:col>
      <xdr:colOff>555625</xdr:colOff>
      <xdr:row>49</xdr:row>
      <xdr:rowOff>44450</xdr:rowOff>
    </xdr:to>
    <xdr:sp macro="" textlink="">
      <xdr:nvSpPr>
        <xdr:cNvPr id="207" name="group_023_under"/>
        <xdr:cNvSpPr/>
      </xdr:nvSpPr>
      <xdr:spPr>
        <a:xfrm>
          <a:off x="1355725" y="8318500"/>
          <a:ext cx="4000500" cy="1270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47</xdr:row>
      <xdr:rowOff>120650</xdr:rowOff>
    </xdr:from>
    <xdr:to>
      <xdr:col>6</xdr:col>
      <xdr:colOff>219075</xdr:colOff>
      <xdr:row>50</xdr:row>
      <xdr:rowOff>12700</xdr:rowOff>
    </xdr:to>
    <xdr:sp macro="" textlink="">
      <xdr:nvSpPr>
        <xdr:cNvPr id="208" name="group_023_text"/>
        <xdr:cNvSpPr/>
      </xdr:nvSpPr>
      <xdr:spPr>
        <a:xfrm>
          <a:off x="2378075" y="8178800"/>
          <a:ext cx="19558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528">
              <a:solidFill>
                <a:srgbClr val="000000"/>
              </a:solidFill>
              <a:latin typeface="Meiryo UI"/>
            </a:rPr>
            <a:t>斉藤優里 トレンディエンジェル</a:t>
          </a:r>
          <a:r>
            <a:rPr kumimoji="1" lang="en-US" altLang="ja-JP" sz="528">
              <a:solidFill>
                <a:srgbClr val="000000"/>
              </a:solidFill>
              <a:latin typeface="Meiryo UI"/>
            </a:rPr>
            <a:t>MC</a:t>
          </a:r>
          <a:endParaRPr kumimoji="1" lang="ja-JP" altLang="en-US" sz="528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47</xdr:row>
      <xdr:rowOff>120650</xdr:rowOff>
    </xdr:from>
    <xdr:to>
      <xdr:col>7</xdr:col>
      <xdr:colOff>155575</xdr:colOff>
      <xdr:row>50</xdr:row>
      <xdr:rowOff>12700</xdr:rowOff>
    </xdr:to>
    <xdr:sp macro="" textlink="">
      <xdr:nvSpPr>
        <xdr:cNvPr id="209" name="group_023_time"/>
        <xdr:cNvSpPr/>
      </xdr:nvSpPr>
      <xdr:spPr>
        <a:xfrm>
          <a:off x="1355725" y="8178800"/>
          <a:ext cx="360045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18:25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18:35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47</xdr:row>
      <xdr:rowOff>120650</xdr:rowOff>
    </xdr:from>
    <xdr:to>
      <xdr:col>7</xdr:col>
      <xdr:colOff>555625</xdr:colOff>
      <xdr:row>50</xdr:row>
      <xdr:rowOff>12700</xdr:rowOff>
    </xdr:to>
    <xdr:sp macro="" textlink="">
      <xdr:nvSpPr>
        <xdr:cNvPr id="210" name="group_023_sp_time"/>
        <xdr:cNvSpPr/>
      </xdr:nvSpPr>
      <xdr:spPr>
        <a:xfrm>
          <a:off x="1355725" y="8178800"/>
          <a:ext cx="4000500" cy="4064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ja-JP" altLang="en-US" sz="800">
              <a:solidFill>
                <a:srgbClr val="000000"/>
              </a:solidFill>
              <a:latin typeface="Meiryo UI"/>
            </a:rPr>
            <a:t>  </a:t>
          </a:r>
        </a:p>
      </xdr:txBody>
    </xdr:sp>
    <xdr:clientData/>
  </xdr:twoCellAnchor>
  <xdr:twoCellAnchor>
    <xdr:from>
      <xdr:col>1</xdr:col>
      <xdr:colOff>669925</xdr:colOff>
      <xdr:row>49</xdr:row>
      <xdr:rowOff>69850</xdr:rowOff>
    </xdr:from>
    <xdr:to>
      <xdr:col>7</xdr:col>
      <xdr:colOff>555625</xdr:colOff>
      <xdr:row>51</xdr:row>
      <xdr:rowOff>82550</xdr:rowOff>
    </xdr:to>
    <xdr:sp macro="" textlink="">
      <xdr:nvSpPr>
        <xdr:cNvPr id="212" name="group_024_under"/>
        <xdr:cNvSpPr/>
      </xdr:nvSpPr>
      <xdr:spPr>
        <a:xfrm>
          <a:off x="1355725" y="8470900"/>
          <a:ext cx="4000500" cy="3556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48</xdr:row>
      <xdr:rowOff>101600</xdr:rowOff>
    </xdr:from>
    <xdr:to>
      <xdr:col>6</xdr:col>
      <xdr:colOff>219075</xdr:colOff>
      <xdr:row>52</xdr:row>
      <xdr:rowOff>50800</xdr:rowOff>
    </xdr:to>
    <xdr:sp macro="" textlink="">
      <xdr:nvSpPr>
        <xdr:cNvPr id="213" name="group_024_text"/>
        <xdr:cNvSpPr/>
      </xdr:nvSpPr>
      <xdr:spPr>
        <a:xfrm>
          <a:off x="2378075" y="8331200"/>
          <a:ext cx="19558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JamsCollection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48</xdr:row>
      <xdr:rowOff>101600</xdr:rowOff>
    </xdr:from>
    <xdr:to>
      <xdr:col>7</xdr:col>
      <xdr:colOff>155575</xdr:colOff>
      <xdr:row>52</xdr:row>
      <xdr:rowOff>50800</xdr:rowOff>
    </xdr:to>
    <xdr:sp macro="" textlink="">
      <xdr:nvSpPr>
        <xdr:cNvPr id="214" name="group_024_time"/>
        <xdr:cNvSpPr/>
      </xdr:nvSpPr>
      <xdr:spPr>
        <a:xfrm>
          <a:off x="1355725" y="8331200"/>
          <a:ext cx="360045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18:35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19:00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48</xdr:row>
      <xdr:rowOff>101600</xdr:rowOff>
    </xdr:from>
    <xdr:to>
      <xdr:col>7</xdr:col>
      <xdr:colOff>555625</xdr:colOff>
      <xdr:row>52</xdr:row>
      <xdr:rowOff>50800</xdr:rowOff>
    </xdr:to>
    <xdr:sp macro="" textlink="">
      <xdr:nvSpPr>
        <xdr:cNvPr id="215" name="group_024_sp_time"/>
        <xdr:cNvSpPr/>
      </xdr:nvSpPr>
      <xdr:spPr>
        <a:xfrm>
          <a:off x="1355725" y="8331200"/>
          <a:ext cx="4000500" cy="6350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19:10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20:10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51</xdr:row>
      <xdr:rowOff>107950</xdr:rowOff>
    </xdr:from>
    <xdr:to>
      <xdr:col>7</xdr:col>
      <xdr:colOff>555625</xdr:colOff>
      <xdr:row>54</xdr:row>
      <xdr:rowOff>25400</xdr:rowOff>
    </xdr:to>
    <xdr:sp macro="" textlink="">
      <xdr:nvSpPr>
        <xdr:cNvPr id="217" name="group_025_under"/>
        <xdr:cNvSpPr/>
      </xdr:nvSpPr>
      <xdr:spPr>
        <a:xfrm>
          <a:off x="1355725" y="8851900"/>
          <a:ext cx="4000500" cy="4318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50</xdr:row>
      <xdr:rowOff>139700</xdr:rowOff>
    </xdr:from>
    <xdr:to>
      <xdr:col>6</xdr:col>
      <xdr:colOff>219075</xdr:colOff>
      <xdr:row>54</xdr:row>
      <xdr:rowOff>165100</xdr:rowOff>
    </xdr:to>
    <xdr:sp macro="" textlink="">
      <xdr:nvSpPr>
        <xdr:cNvPr id="218" name="group_025_text"/>
        <xdr:cNvSpPr/>
      </xdr:nvSpPr>
      <xdr:spPr>
        <a:xfrm>
          <a:off x="2378075" y="8712200"/>
          <a:ext cx="19558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880">
              <a:solidFill>
                <a:srgbClr val="000000"/>
              </a:solidFill>
              <a:latin typeface="Meiryo UI"/>
            </a:rPr>
            <a:t>かすみ草とステラ</a:t>
          </a:r>
        </a:p>
      </xdr:txBody>
    </xdr:sp>
    <xdr:clientData/>
  </xdr:twoCellAnchor>
  <xdr:twoCellAnchor>
    <xdr:from>
      <xdr:col>1</xdr:col>
      <xdr:colOff>669925</xdr:colOff>
      <xdr:row>50</xdr:row>
      <xdr:rowOff>139700</xdr:rowOff>
    </xdr:from>
    <xdr:to>
      <xdr:col>7</xdr:col>
      <xdr:colOff>155575</xdr:colOff>
      <xdr:row>54</xdr:row>
      <xdr:rowOff>165100</xdr:rowOff>
    </xdr:to>
    <xdr:sp macro="" textlink="">
      <xdr:nvSpPr>
        <xdr:cNvPr id="219" name="group_025_time"/>
        <xdr:cNvSpPr/>
      </xdr:nvSpPr>
      <xdr:spPr>
        <a:xfrm>
          <a:off x="1355725" y="8712200"/>
          <a:ext cx="360045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19:00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19:30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50</xdr:row>
      <xdr:rowOff>139700</xdr:rowOff>
    </xdr:from>
    <xdr:to>
      <xdr:col>7</xdr:col>
      <xdr:colOff>555625</xdr:colOff>
      <xdr:row>54</xdr:row>
      <xdr:rowOff>165100</xdr:rowOff>
    </xdr:to>
    <xdr:sp macro="" textlink="">
      <xdr:nvSpPr>
        <xdr:cNvPr id="220" name="group_025_sp_time"/>
        <xdr:cNvSpPr/>
      </xdr:nvSpPr>
      <xdr:spPr>
        <a:xfrm>
          <a:off x="1355725" y="8712200"/>
          <a:ext cx="40005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20:40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21:40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ロビー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54</xdr:row>
      <xdr:rowOff>50800</xdr:rowOff>
    </xdr:from>
    <xdr:to>
      <xdr:col>7</xdr:col>
      <xdr:colOff>555625</xdr:colOff>
      <xdr:row>56</xdr:row>
      <xdr:rowOff>139700</xdr:rowOff>
    </xdr:to>
    <xdr:sp macro="" textlink="">
      <xdr:nvSpPr>
        <xdr:cNvPr id="222" name="group_026_under"/>
        <xdr:cNvSpPr/>
      </xdr:nvSpPr>
      <xdr:spPr>
        <a:xfrm>
          <a:off x="1355725" y="9309100"/>
          <a:ext cx="4000500" cy="4318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53</xdr:row>
      <xdr:rowOff>82550</xdr:rowOff>
    </xdr:from>
    <xdr:to>
      <xdr:col>6</xdr:col>
      <xdr:colOff>219075</xdr:colOff>
      <xdr:row>57</xdr:row>
      <xdr:rowOff>107950</xdr:rowOff>
    </xdr:to>
    <xdr:sp macro="" textlink="">
      <xdr:nvSpPr>
        <xdr:cNvPr id="223" name="group_026_text"/>
        <xdr:cNvSpPr/>
      </xdr:nvSpPr>
      <xdr:spPr>
        <a:xfrm>
          <a:off x="2378075" y="9169400"/>
          <a:ext cx="19558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Devil ANTHEM.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53</xdr:row>
      <xdr:rowOff>82550</xdr:rowOff>
    </xdr:from>
    <xdr:to>
      <xdr:col>7</xdr:col>
      <xdr:colOff>155575</xdr:colOff>
      <xdr:row>57</xdr:row>
      <xdr:rowOff>107950</xdr:rowOff>
    </xdr:to>
    <xdr:sp macro="" textlink="">
      <xdr:nvSpPr>
        <xdr:cNvPr id="224" name="group_026_time"/>
        <xdr:cNvSpPr/>
      </xdr:nvSpPr>
      <xdr:spPr>
        <a:xfrm>
          <a:off x="1355725" y="9169400"/>
          <a:ext cx="360045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19:30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20:00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53</xdr:row>
      <xdr:rowOff>82550</xdr:rowOff>
    </xdr:from>
    <xdr:to>
      <xdr:col>7</xdr:col>
      <xdr:colOff>555625</xdr:colOff>
      <xdr:row>57</xdr:row>
      <xdr:rowOff>107950</xdr:rowOff>
    </xdr:to>
    <xdr:sp macro="" textlink="">
      <xdr:nvSpPr>
        <xdr:cNvPr id="225" name="group_026_sp_time"/>
        <xdr:cNvSpPr/>
      </xdr:nvSpPr>
      <xdr:spPr>
        <a:xfrm>
          <a:off x="1355725" y="9169400"/>
          <a:ext cx="40005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20:40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21:40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ホール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A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56</xdr:row>
      <xdr:rowOff>165100</xdr:rowOff>
    </xdr:from>
    <xdr:to>
      <xdr:col>7</xdr:col>
      <xdr:colOff>555625</xdr:colOff>
      <xdr:row>59</xdr:row>
      <xdr:rowOff>82550</xdr:rowOff>
    </xdr:to>
    <xdr:sp macro="" textlink="">
      <xdr:nvSpPr>
        <xdr:cNvPr id="227" name="group_027_under"/>
        <xdr:cNvSpPr/>
      </xdr:nvSpPr>
      <xdr:spPr>
        <a:xfrm>
          <a:off x="1355725" y="9766300"/>
          <a:ext cx="4000500" cy="431800"/>
        </a:xfrm>
        <a:prstGeom prst="roundRect">
          <a:avLst>
            <a:gd name="adj" fmla="val 7000"/>
          </a:avLst>
        </a:prstGeom>
        <a:solidFill>
          <a:srgbClr val="FFFFFF"/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320675</xdr:colOff>
      <xdr:row>56</xdr:row>
      <xdr:rowOff>25400</xdr:rowOff>
    </xdr:from>
    <xdr:to>
      <xdr:col>6</xdr:col>
      <xdr:colOff>219075</xdr:colOff>
      <xdr:row>60</xdr:row>
      <xdr:rowOff>50800</xdr:rowOff>
    </xdr:to>
    <xdr:sp macro="" textlink="">
      <xdr:nvSpPr>
        <xdr:cNvPr id="228" name="group_027_text"/>
        <xdr:cNvSpPr/>
      </xdr:nvSpPr>
      <xdr:spPr>
        <a:xfrm>
          <a:off x="2378075" y="9626600"/>
          <a:ext cx="19558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en-US" altLang="ja-JP" sz="880">
              <a:solidFill>
                <a:srgbClr val="000000"/>
              </a:solidFill>
              <a:latin typeface="Meiryo UI"/>
            </a:rPr>
            <a:t>FES☆TIVE</a:t>
          </a:r>
          <a:endParaRPr kumimoji="1" lang="ja-JP" altLang="en-US" sz="88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56</xdr:row>
      <xdr:rowOff>25400</xdr:rowOff>
    </xdr:from>
    <xdr:to>
      <xdr:col>7</xdr:col>
      <xdr:colOff>155575</xdr:colOff>
      <xdr:row>60</xdr:row>
      <xdr:rowOff>50800</xdr:rowOff>
    </xdr:to>
    <xdr:sp macro="" textlink="">
      <xdr:nvSpPr>
        <xdr:cNvPr id="229" name="group_027_time"/>
        <xdr:cNvSpPr/>
      </xdr:nvSpPr>
      <xdr:spPr>
        <a:xfrm>
          <a:off x="1355725" y="9626600"/>
          <a:ext cx="360045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800">
              <a:solidFill>
                <a:srgbClr val="000000"/>
              </a:solidFill>
              <a:latin typeface="Meiryo UI"/>
            </a:rPr>
            <a:t>20:00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 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20:30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56</xdr:row>
      <xdr:rowOff>25400</xdr:rowOff>
    </xdr:from>
    <xdr:to>
      <xdr:col>7</xdr:col>
      <xdr:colOff>555625</xdr:colOff>
      <xdr:row>60</xdr:row>
      <xdr:rowOff>50800</xdr:rowOff>
    </xdr:to>
    <xdr:sp macro="" textlink="">
      <xdr:nvSpPr>
        <xdr:cNvPr id="230" name="group_027_sp_time"/>
        <xdr:cNvSpPr/>
      </xdr:nvSpPr>
      <xdr:spPr>
        <a:xfrm>
          <a:off x="1355725" y="9626600"/>
          <a:ext cx="4000500" cy="711200"/>
        </a:xfrm>
        <a:prstGeom prst="rect">
          <a:avLst/>
        </a:prstGeom>
        <a:solidFill>
          <a:srgbClr val="FFFFFF">
            <a:alpha val="0"/>
          </a:srgbClr>
        </a:solidFill>
        <a:ln w="12700" cap="flat" cmpd="sng" algn="ctr">
          <a:solidFill>
            <a:srgbClr val="000000">
              <a:alpha val="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r"/>
          <a:r>
            <a:rPr kumimoji="1" lang="en-US" altLang="ja-JP" sz="800">
              <a:solidFill>
                <a:srgbClr val="000000"/>
              </a:solidFill>
              <a:latin typeface="Meiryo UI"/>
            </a:rPr>
            <a:t>20:40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～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21:40  </a:t>
          </a:r>
          <a:r>
            <a:rPr kumimoji="1" lang="ja-JP" altLang="en-US" sz="800">
              <a:solidFill>
                <a:srgbClr val="000000"/>
              </a:solidFill>
              <a:latin typeface="Meiryo UI"/>
            </a:rPr>
            <a:t>ホール</a:t>
          </a:r>
          <a:r>
            <a:rPr kumimoji="1" lang="en-US" altLang="ja-JP" sz="800">
              <a:solidFill>
                <a:srgbClr val="000000"/>
              </a:solidFill>
              <a:latin typeface="Meiryo UI"/>
            </a:rPr>
            <a:t>B</a:t>
          </a:r>
          <a:endParaRPr kumimoji="1" lang="ja-JP" altLang="en-US" sz="800">
            <a:solidFill>
              <a:srgbClr val="000000"/>
            </a:solidFill>
            <a:latin typeface="Meiryo UI"/>
          </a:endParaRPr>
        </a:p>
      </xdr:txBody>
    </xdr:sp>
    <xdr:clientData/>
  </xdr:twoCellAnchor>
  <xdr:twoCellAnchor>
    <xdr:from>
      <xdr:col>1</xdr:col>
      <xdr:colOff>669925</xdr:colOff>
      <xdr:row>6</xdr:row>
      <xdr:rowOff>50800</xdr:rowOff>
    </xdr:from>
    <xdr:to>
      <xdr:col>7</xdr:col>
      <xdr:colOff>555625</xdr:colOff>
      <xdr:row>7</xdr:row>
      <xdr:rowOff>82550</xdr:rowOff>
    </xdr:to>
    <xdr:sp macro="shapeClick" textlink="">
      <xdr:nvSpPr>
        <xdr:cNvPr id="101" name="group_001_up"/>
        <xdr:cNvSpPr/>
      </xdr:nvSpPr>
      <xdr:spPr>
        <a:xfrm>
          <a:off x="1355725" y="1079500"/>
          <a:ext cx="4000500" cy="2032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7</xdr:row>
      <xdr:rowOff>107950</xdr:rowOff>
    </xdr:from>
    <xdr:to>
      <xdr:col>7</xdr:col>
      <xdr:colOff>555625</xdr:colOff>
      <xdr:row>8</xdr:row>
      <xdr:rowOff>139700</xdr:rowOff>
    </xdr:to>
    <xdr:sp macro="shapeClick" textlink="">
      <xdr:nvSpPr>
        <xdr:cNvPr id="106" name="group_002_up"/>
        <xdr:cNvSpPr/>
      </xdr:nvSpPr>
      <xdr:spPr>
        <a:xfrm>
          <a:off x="1355725" y="1308100"/>
          <a:ext cx="4000500" cy="2032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8</xdr:row>
      <xdr:rowOff>165100</xdr:rowOff>
    </xdr:from>
    <xdr:to>
      <xdr:col>7</xdr:col>
      <xdr:colOff>555625</xdr:colOff>
      <xdr:row>9</xdr:row>
      <xdr:rowOff>120650</xdr:rowOff>
    </xdr:to>
    <xdr:sp macro="shapeClick" textlink="">
      <xdr:nvSpPr>
        <xdr:cNvPr id="111" name="group_003_up"/>
        <xdr:cNvSpPr/>
      </xdr:nvSpPr>
      <xdr:spPr>
        <a:xfrm>
          <a:off x="1355725" y="1536700"/>
          <a:ext cx="4000500" cy="1270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9</xdr:row>
      <xdr:rowOff>146050</xdr:rowOff>
    </xdr:from>
    <xdr:to>
      <xdr:col>7</xdr:col>
      <xdr:colOff>555625</xdr:colOff>
      <xdr:row>11</xdr:row>
      <xdr:rowOff>158750</xdr:rowOff>
    </xdr:to>
    <xdr:sp macro="shapeClick" textlink="">
      <xdr:nvSpPr>
        <xdr:cNvPr id="116" name="group_004_up"/>
        <xdr:cNvSpPr/>
      </xdr:nvSpPr>
      <xdr:spPr>
        <a:xfrm>
          <a:off x="1355725" y="16891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12</xdr:row>
      <xdr:rowOff>12700</xdr:rowOff>
    </xdr:from>
    <xdr:to>
      <xdr:col>7</xdr:col>
      <xdr:colOff>555625</xdr:colOff>
      <xdr:row>14</xdr:row>
      <xdr:rowOff>25400</xdr:rowOff>
    </xdr:to>
    <xdr:sp macro="shapeClick" textlink="">
      <xdr:nvSpPr>
        <xdr:cNvPr id="121" name="group_005_up"/>
        <xdr:cNvSpPr/>
      </xdr:nvSpPr>
      <xdr:spPr>
        <a:xfrm>
          <a:off x="1355725" y="20701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14</xdr:row>
      <xdr:rowOff>50800</xdr:rowOff>
    </xdr:from>
    <xdr:to>
      <xdr:col>7</xdr:col>
      <xdr:colOff>555625</xdr:colOff>
      <xdr:row>16</xdr:row>
      <xdr:rowOff>63500</xdr:rowOff>
    </xdr:to>
    <xdr:sp macro="shapeClick" textlink="">
      <xdr:nvSpPr>
        <xdr:cNvPr id="126" name="group_006_up"/>
        <xdr:cNvSpPr/>
      </xdr:nvSpPr>
      <xdr:spPr>
        <a:xfrm>
          <a:off x="1355725" y="24511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16</xdr:row>
      <xdr:rowOff>88900</xdr:rowOff>
    </xdr:from>
    <xdr:to>
      <xdr:col>7</xdr:col>
      <xdr:colOff>555625</xdr:colOff>
      <xdr:row>18</xdr:row>
      <xdr:rowOff>101600</xdr:rowOff>
    </xdr:to>
    <xdr:sp macro="shapeClick" textlink="">
      <xdr:nvSpPr>
        <xdr:cNvPr id="131" name="group_007_up"/>
        <xdr:cNvSpPr/>
      </xdr:nvSpPr>
      <xdr:spPr>
        <a:xfrm>
          <a:off x="1355725" y="28321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18</xdr:row>
      <xdr:rowOff>127000</xdr:rowOff>
    </xdr:from>
    <xdr:to>
      <xdr:col>7</xdr:col>
      <xdr:colOff>555625</xdr:colOff>
      <xdr:row>19</xdr:row>
      <xdr:rowOff>82550</xdr:rowOff>
    </xdr:to>
    <xdr:sp macro="shapeClick" textlink="">
      <xdr:nvSpPr>
        <xdr:cNvPr id="136" name="group_008_up"/>
        <xdr:cNvSpPr/>
      </xdr:nvSpPr>
      <xdr:spPr>
        <a:xfrm>
          <a:off x="1355725" y="3213100"/>
          <a:ext cx="4000500" cy="1270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19</xdr:row>
      <xdr:rowOff>107950</xdr:rowOff>
    </xdr:from>
    <xdr:to>
      <xdr:col>7</xdr:col>
      <xdr:colOff>555625</xdr:colOff>
      <xdr:row>21</xdr:row>
      <xdr:rowOff>120650</xdr:rowOff>
    </xdr:to>
    <xdr:sp macro="shapeClick" textlink="">
      <xdr:nvSpPr>
        <xdr:cNvPr id="141" name="group_009_up"/>
        <xdr:cNvSpPr/>
      </xdr:nvSpPr>
      <xdr:spPr>
        <a:xfrm>
          <a:off x="1355725" y="3365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21</xdr:row>
      <xdr:rowOff>146050</xdr:rowOff>
    </xdr:from>
    <xdr:to>
      <xdr:col>7</xdr:col>
      <xdr:colOff>555625</xdr:colOff>
      <xdr:row>23</xdr:row>
      <xdr:rowOff>158750</xdr:rowOff>
    </xdr:to>
    <xdr:sp macro="shapeClick" textlink="">
      <xdr:nvSpPr>
        <xdr:cNvPr id="146" name="group_010_up"/>
        <xdr:cNvSpPr/>
      </xdr:nvSpPr>
      <xdr:spPr>
        <a:xfrm>
          <a:off x="1355725" y="3746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24</xdr:row>
      <xdr:rowOff>12700</xdr:rowOff>
    </xdr:from>
    <xdr:to>
      <xdr:col>7</xdr:col>
      <xdr:colOff>555625</xdr:colOff>
      <xdr:row>26</xdr:row>
      <xdr:rowOff>25400</xdr:rowOff>
    </xdr:to>
    <xdr:sp macro="shapeClick" textlink="">
      <xdr:nvSpPr>
        <xdr:cNvPr id="151" name="group_011_up"/>
        <xdr:cNvSpPr/>
      </xdr:nvSpPr>
      <xdr:spPr>
        <a:xfrm>
          <a:off x="1355725" y="4127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26</xdr:row>
      <xdr:rowOff>50800</xdr:rowOff>
    </xdr:from>
    <xdr:to>
      <xdr:col>7</xdr:col>
      <xdr:colOff>555625</xdr:colOff>
      <xdr:row>28</xdr:row>
      <xdr:rowOff>63500</xdr:rowOff>
    </xdr:to>
    <xdr:sp macro="shapeClick" textlink="">
      <xdr:nvSpPr>
        <xdr:cNvPr id="156" name="group_012_up"/>
        <xdr:cNvSpPr/>
      </xdr:nvSpPr>
      <xdr:spPr>
        <a:xfrm>
          <a:off x="1355725" y="4508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28</xdr:row>
      <xdr:rowOff>88900</xdr:rowOff>
    </xdr:from>
    <xdr:to>
      <xdr:col>7</xdr:col>
      <xdr:colOff>555625</xdr:colOff>
      <xdr:row>29</xdr:row>
      <xdr:rowOff>44450</xdr:rowOff>
    </xdr:to>
    <xdr:sp macro="shapeClick" textlink="">
      <xdr:nvSpPr>
        <xdr:cNvPr id="161" name="group_013_up"/>
        <xdr:cNvSpPr/>
      </xdr:nvSpPr>
      <xdr:spPr>
        <a:xfrm>
          <a:off x="1355725" y="4889500"/>
          <a:ext cx="4000500" cy="1270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29</xdr:row>
      <xdr:rowOff>69850</xdr:rowOff>
    </xdr:from>
    <xdr:to>
      <xdr:col>7</xdr:col>
      <xdr:colOff>555625</xdr:colOff>
      <xdr:row>31</xdr:row>
      <xdr:rowOff>82550</xdr:rowOff>
    </xdr:to>
    <xdr:sp macro="shapeClick" textlink="">
      <xdr:nvSpPr>
        <xdr:cNvPr id="166" name="group_014_up"/>
        <xdr:cNvSpPr/>
      </xdr:nvSpPr>
      <xdr:spPr>
        <a:xfrm>
          <a:off x="1355725" y="50419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31</xdr:row>
      <xdr:rowOff>107950</xdr:rowOff>
    </xdr:from>
    <xdr:to>
      <xdr:col>7</xdr:col>
      <xdr:colOff>555625</xdr:colOff>
      <xdr:row>33</xdr:row>
      <xdr:rowOff>120650</xdr:rowOff>
    </xdr:to>
    <xdr:sp macro="shapeClick" textlink="">
      <xdr:nvSpPr>
        <xdr:cNvPr id="171" name="group_015_up"/>
        <xdr:cNvSpPr/>
      </xdr:nvSpPr>
      <xdr:spPr>
        <a:xfrm>
          <a:off x="1355725" y="54229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33</xdr:row>
      <xdr:rowOff>146050</xdr:rowOff>
    </xdr:from>
    <xdr:to>
      <xdr:col>7</xdr:col>
      <xdr:colOff>555625</xdr:colOff>
      <xdr:row>35</xdr:row>
      <xdr:rowOff>158750</xdr:rowOff>
    </xdr:to>
    <xdr:sp macro="shapeClick" textlink="">
      <xdr:nvSpPr>
        <xdr:cNvPr id="176" name="group_016_up"/>
        <xdr:cNvSpPr/>
      </xdr:nvSpPr>
      <xdr:spPr>
        <a:xfrm>
          <a:off x="1355725" y="58039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36</xdr:row>
      <xdr:rowOff>12700</xdr:rowOff>
    </xdr:from>
    <xdr:to>
      <xdr:col>7</xdr:col>
      <xdr:colOff>555625</xdr:colOff>
      <xdr:row>38</xdr:row>
      <xdr:rowOff>25400</xdr:rowOff>
    </xdr:to>
    <xdr:sp macro="shapeClick" textlink="">
      <xdr:nvSpPr>
        <xdr:cNvPr id="181" name="group_017_up"/>
        <xdr:cNvSpPr/>
      </xdr:nvSpPr>
      <xdr:spPr>
        <a:xfrm>
          <a:off x="1355725" y="61849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38</xdr:row>
      <xdr:rowOff>50800</xdr:rowOff>
    </xdr:from>
    <xdr:to>
      <xdr:col>7</xdr:col>
      <xdr:colOff>555625</xdr:colOff>
      <xdr:row>39</xdr:row>
      <xdr:rowOff>6350</xdr:rowOff>
    </xdr:to>
    <xdr:sp macro="shapeClick" textlink="">
      <xdr:nvSpPr>
        <xdr:cNvPr id="186" name="group_018_up"/>
        <xdr:cNvSpPr/>
      </xdr:nvSpPr>
      <xdr:spPr>
        <a:xfrm>
          <a:off x="1355725" y="6565900"/>
          <a:ext cx="4000500" cy="1270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39</xdr:row>
      <xdr:rowOff>31750</xdr:rowOff>
    </xdr:from>
    <xdr:to>
      <xdr:col>7</xdr:col>
      <xdr:colOff>555625</xdr:colOff>
      <xdr:row>41</xdr:row>
      <xdr:rowOff>120650</xdr:rowOff>
    </xdr:to>
    <xdr:sp macro="shapeClick" textlink="">
      <xdr:nvSpPr>
        <xdr:cNvPr id="191" name="group_019_up"/>
        <xdr:cNvSpPr/>
      </xdr:nvSpPr>
      <xdr:spPr>
        <a:xfrm>
          <a:off x="1355725" y="6718300"/>
          <a:ext cx="4000500" cy="4318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41</xdr:row>
      <xdr:rowOff>146050</xdr:rowOff>
    </xdr:from>
    <xdr:to>
      <xdr:col>7</xdr:col>
      <xdr:colOff>555625</xdr:colOff>
      <xdr:row>43</xdr:row>
      <xdr:rowOff>158750</xdr:rowOff>
    </xdr:to>
    <xdr:sp macro="shapeClick" textlink="">
      <xdr:nvSpPr>
        <xdr:cNvPr id="196" name="group_020_up"/>
        <xdr:cNvSpPr/>
      </xdr:nvSpPr>
      <xdr:spPr>
        <a:xfrm>
          <a:off x="1355725" y="7175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44</xdr:row>
      <xdr:rowOff>12700</xdr:rowOff>
    </xdr:from>
    <xdr:to>
      <xdr:col>7</xdr:col>
      <xdr:colOff>555625</xdr:colOff>
      <xdr:row>46</xdr:row>
      <xdr:rowOff>25400</xdr:rowOff>
    </xdr:to>
    <xdr:sp macro="shapeClick" textlink="">
      <xdr:nvSpPr>
        <xdr:cNvPr id="201" name="group_021_up"/>
        <xdr:cNvSpPr/>
      </xdr:nvSpPr>
      <xdr:spPr>
        <a:xfrm>
          <a:off x="1355725" y="7556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46</xdr:row>
      <xdr:rowOff>50800</xdr:rowOff>
    </xdr:from>
    <xdr:to>
      <xdr:col>7</xdr:col>
      <xdr:colOff>555625</xdr:colOff>
      <xdr:row>48</xdr:row>
      <xdr:rowOff>63500</xdr:rowOff>
    </xdr:to>
    <xdr:sp macro="shapeClick" textlink="">
      <xdr:nvSpPr>
        <xdr:cNvPr id="206" name="group_022_up"/>
        <xdr:cNvSpPr/>
      </xdr:nvSpPr>
      <xdr:spPr>
        <a:xfrm>
          <a:off x="1355725" y="79375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48</xdr:row>
      <xdr:rowOff>88900</xdr:rowOff>
    </xdr:from>
    <xdr:to>
      <xdr:col>7</xdr:col>
      <xdr:colOff>555625</xdr:colOff>
      <xdr:row>49</xdr:row>
      <xdr:rowOff>44450</xdr:rowOff>
    </xdr:to>
    <xdr:sp macro="shapeClick" textlink="">
      <xdr:nvSpPr>
        <xdr:cNvPr id="211" name="group_023_up"/>
        <xdr:cNvSpPr/>
      </xdr:nvSpPr>
      <xdr:spPr>
        <a:xfrm>
          <a:off x="1355725" y="8318500"/>
          <a:ext cx="4000500" cy="1270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49</xdr:row>
      <xdr:rowOff>69850</xdr:rowOff>
    </xdr:from>
    <xdr:to>
      <xdr:col>7</xdr:col>
      <xdr:colOff>555625</xdr:colOff>
      <xdr:row>51</xdr:row>
      <xdr:rowOff>82550</xdr:rowOff>
    </xdr:to>
    <xdr:sp macro="shapeClick" textlink="">
      <xdr:nvSpPr>
        <xdr:cNvPr id="216" name="group_024_up"/>
        <xdr:cNvSpPr/>
      </xdr:nvSpPr>
      <xdr:spPr>
        <a:xfrm>
          <a:off x="1355725" y="8470900"/>
          <a:ext cx="4000500" cy="3556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51</xdr:row>
      <xdr:rowOff>107950</xdr:rowOff>
    </xdr:from>
    <xdr:to>
      <xdr:col>7</xdr:col>
      <xdr:colOff>555625</xdr:colOff>
      <xdr:row>54</xdr:row>
      <xdr:rowOff>25400</xdr:rowOff>
    </xdr:to>
    <xdr:sp macro="shapeClick" textlink="">
      <xdr:nvSpPr>
        <xdr:cNvPr id="221" name="group_025_up"/>
        <xdr:cNvSpPr/>
      </xdr:nvSpPr>
      <xdr:spPr>
        <a:xfrm>
          <a:off x="1355725" y="8851900"/>
          <a:ext cx="4000500" cy="4318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54</xdr:row>
      <xdr:rowOff>50800</xdr:rowOff>
    </xdr:from>
    <xdr:to>
      <xdr:col>7</xdr:col>
      <xdr:colOff>555625</xdr:colOff>
      <xdr:row>56</xdr:row>
      <xdr:rowOff>139700</xdr:rowOff>
    </xdr:to>
    <xdr:sp macro="shapeClick" textlink="">
      <xdr:nvSpPr>
        <xdr:cNvPr id="226" name="group_026_up"/>
        <xdr:cNvSpPr/>
      </xdr:nvSpPr>
      <xdr:spPr>
        <a:xfrm>
          <a:off x="1355725" y="9309100"/>
          <a:ext cx="4000500" cy="4318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669925</xdr:colOff>
      <xdr:row>56</xdr:row>
      <xdr:rowOff>165100</xdr:rowOff>
    </xdr:from>
    <xdr:to>
      <xdr:col>7</xdr:col>
      <xdr:colOff>555625</xdr:colOff>
      <xdr:row>59</xdr:row>
      <xdr:rowOff>82550</xdr:rowOff>
    </xdr:to>
    <xdr:sp macro="shapeClick" textlink="">
      <xdr:nvSpPr>
        <xdr:cNvPr id="231" name="group_027_up"/>
        <xdr:cNvSpPr/>
      </xdr:nvSpPr>
      <xdr:spPr>
        <a:xfrm>
          <a:off x="1355725" y="9766300"/>
          <a:ext cx="4000500" cy="431800"/>
        </a:xfrm>
        <a:prstGeom prst="roundRect">
          <a:avLst>
            <a:gd name="adj" fmla="val 7000"/>
          </a:avLst>
        </a:prstGeom>
        <a:solidFill>
          <a:srgbClr val="FFFFFF">
            <a:alpha val="0"/>
          </a:srgbClr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619125</xdr:colOff>
      <xdr:row>29</xdr:row>
      <xdr:rowOff>44450</xdr:rowOff>
    </xdr:from>
    <xdr:to>
      <xdr:col>7</xdr:col>
      <xdr:colOff>606425</xdr:colOff>
      <xdr:row>31</xdr:row>
      <xdr:rowOff>107950</xdr:rowOff>
    </xdr:to>
    <xdr:sp macro="shapeSelectedClick" textlink="">
      <xdr:nvSpPr>
        <xdr:cNvPr id="234" name="group_014_up_selected"/>
        <xdr:cNvSpPr/>
      </xdr:nvSpPr>
      <xdr:spPr>
        <a:xfrm>
          <a:off x="1304925" y="5016500"/>
          <a:ext cx="4102100" cy="406400"/>
        </a:xfrm>
        <a:prstGeom prst="roundRect">
          <a:avLst>
            <a:gd name="adj" fmla="val 10000"/>
          </a:avLst>
        </a:prstGeom>
        <a:solidFill>
          <a:srgbClr val="00C8C8">
            <a:alpha val="30000"/>
          </a:srgbClr>
        </a:solidFill>
        <a:ln w="19050" cap="flat" cmpd="sng" algn="ctr">
          <a:solidFill>
            <a:srgbClr val="00C8C8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619125</xdr:colOff>
      <xdr:row>35</xdr:row>
      <xdr:rowOff>158750</xdr:rowOff>
    </xdr:from>
    <xdr:to>
      <xdr:col>7</xdr:col>
      <xdr:colOff>606425</xdr:colOff>
      <xdr:row>38</xdr:row>
      <xdr:rowOff>50800</xdr:rowOff>
    </xdr:to>
    <xdr:sp macro="shapeSelectedClick" textlink="">
      <xdr:nvSpPr>
        <xdr:cNvPr id="235" name="group_017_up_selected"/>
        <xdr:cNvSpPr/>
      </xdr:nvSpPr>
      <xdr:spPr>
        <a:xfrm>
          <a:off x="1304925" y="6159500"/>
          <a:ext cx="4102100" cy="406400"/>
        </a:xfrm>
        <a:prstGeom prst="roundRect">
          <a:avLst>
            <a:gd name="adj" fmla="val 10000"/>
          </a:avLst>
        </a:prstGeom>
        <a:solidFill>
          <a:srgbClr val="00C8C8">
            <a:alpha val="30000"/>
          </a:srgbClr>
        </a:solidFill>
        <a:ln w="19050" cap="flat" cmpd="sng" algn="ctr">
          <a:solidFill>
            <a:srgbClr val="00C8C8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619125</xdr:colOff>
      <xdr:row>41</xdr:row>
      <xdr:rowOff>120650</xdr:rowOff>
    </xdr:from>
    <xdr:to>
      <xdr:col>7</xdr:col>
      <xdr:colOff>606425</xdr:colOff>
      <xdr:row>44</xdr:row>
      <xdr:rowOff>12700</xdr:rowOff>
    </xdr:to>
    <xdr:sp macro="shapeSelectedClick" textlink="">
      <xdr:nvSpPr>
        <xdr:cNvPr id="236" name="group_020_up_selected"/>
        <xdr:cNvSpPr/>
      </xdr:nvSpPr>
      <xdr:spPr>
        <a:xfrm>
          <a:off x="1304925" y="7150100"/>
          <a:ext cx="4102100" cy="406400"/>
        </a:xfrm>
        <a:prstGeom prst="roundRect">
          <a:avLst>
            <a:gd name="adj" fmla="val 10000"/>
          </a:avLst>
        </a:prstGeom>
        <a:solidFill>
          <a:srgbClr val="00C8C8">
            <a:alpha val="30000"/>
          </a:srgbClr>
        </a:solidFill>
        <a:ln w="19050" cap="flat" cmpd="sng" algn="ctr">
          <a:solidFill>
            <a:srgbClr val="00C8C8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619125</xdr:colOff>
      <xdr:row>49</xdr:row>
      <xdr:rowOff>44450</xdr:rowOff>
    </xdr:from>
    <xdr:to>
      <xdr:col>7</xdr:col>
      <xdr:colOff>606425</xdr:colOff>
      <xdr:row>51</xdr:row>
      <xdr:rowOff>107950</xdr:rowOff>
    </xdr:to>
    <xdr:sp macro="shapeSelectedClick" textlink="">
      <xdr:nvSpPr>
        <xdr:cNvPr id="237" name="group_024_up_selected"/>
        <xdr:cNvSpPr/>
      </xdr:nvSpPr>
      <xdr:spPr>
        <a:xfrm>
          <a:off x="1304925" y="8445500"/>
          <a:ext cx="4102100" cy="406400"/>
        </a:xfrm>
        <a:prstGeom prst="roundRect">
          <a:avLst>
            <a:gd name="adj" fmla="val 10000"/>
          </a:avLst>
        </a:prstGeom>
        <a:solidFill>
          <a:srgbClr val="00C8C8">
            <a:alpha val="30000"/>
          </a:srgbClr>
        </a:solidFill>
        <a:ln w="19050" cap="flat" cmpd="sng" algn="ctr">
          <a:solidFill>
            <a:srgbClr val="00C8C8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619125</xdr:colOff>
      <xdr:row>56</xdr:row>
      <xdr:rowOff>139700</xdr:rowOff>
    </xdr:from>
    <xdr:to>
      <xdr:col>7</xdr:col>
      <xdr:colOff>606425</xdr:colOff>
      <xdr:row>59</xdr:row>
      <xdr:rowOff>107950</xdr:rowOff>
    </xdr:to>
    <xdr:sp macro="shapeSelectedClick" textlink="">
      <xdr:nvSpPr>
        <xdr:cNvPr id="238" name="group_027_up_selected"/>
        <xdr:cNvSpPr/>
      </xdr:nvSpPr>
      <xdr:spPr>
        <a:xfrm>
          <a:off x="1304925" y="9740900"/>
          <a:ext cx="4102100" cy="482600"/>
        </a:xfrm>
        <a:prstGeom prst="roundRect">
          <a:avLst>
            <a:gd name="adj" fmla="val 10000"/>
          </a:avLst>
        </a:prstGeom>
        <a:solidFill>
          <a:srgbClr val="00C8C8">
            <a:alpha val="30000"/>
          </a:srgbClr>
        </a:solidFill>
        <a:ln w="19050" cap="flat" cmpd="sng" algn="ctr">
          <a:solidFill>
            <a:srgbClr val="00C8C8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3" sqref="F13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start">
                <anchor moveWithCells="1" sizeWithCells="1">
                  <from>
                    <xdr:col>3</xdr:col>
                    <xdr:colOff>38100</xdr:colOff>
                    <xdr:row>2</xdr:row>
                    <xdr:rowOff>123825</xdr:rowOff>
                  </from>
                  <to>
                    <xdr:col>6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27"/>
  <sheetViews>
    <sheetView workbookViewId="0">
      <selection activeCell="C12" sqref="C12"/>
    </sheetView>
  </sheetViews>
  <sheetFormatPr defaultRowHeight="13.5" x14ac:dyDescent="0.15"/>
  <cols>
    <col min="1" max="1" width="20.375" bestFit="1" customWidth="1"/>
    <col min="2" max="2" width="9" style="1"/>
  </cols>
  <sheetData>
    <row r="1" spans="1:2" s="4" customFormat="1" x14ac:dyDescent="0.15">
      <c r="A1" s="4" t="s">
        <v>142</v>
      </c>
      <c r="B1" s="1" t="s">
        <v>143</v>
      </c>
    </row>
    <row r="2" spans="1:2" x14ac:dyDescent="0.15">
      <c r="A2" t="s">
        <v>4</v>
      </c>
      <c r="B2" s="1" t="s">
        <v>279</v>
      </c>
    </row>
    <row r="3" spans="1:2" x14ac:dyDescent="0.15">
      <c r="A3" t="s">
        <v>5</v>
      </c>
      <c r="B3" s="1" t="s">
        <v>280</v>
      </c>
    </row>
    <row r="4" spans="1:2" x14ac:dyDescent="0.15">
      <c r="A4" t="s">
        <v>6</v>
      </c>
      <c r="B4" s="1" t="s">
        <v>100</v>
      </c>
    </row>
    <row r="5" spans="1:2" x14ac:dyDescent="0.15">
      <c r="A5" t="s">
        <v>7</v>
      </c>
      <c r="B5" s="1" t="s">
        <v>99</v>
      </c>
    </row>
    <row r="6" spans="1:2" x14ac:dyDescent="0.15">
      <c r="A6" t="s">
        <v>8</v>
      </c>
      <c r="B6" s="1" t="s">
        <v>281</v>
      </c>
    </row>
    <row r="7" spans="1:2" x14ac:dyDescent="0.15">
      <c r="A7" t="s">
        <v>9</v>
      </c>
      <c r="B7" s="1" t="s">
        <v>262</v>
      </c>
    </row>
    <row r="8" spans="1:2" x14ac:dyDescent="0.15">
      <c r="A8" t="s">
        <v>10</v>
      </c>
      <c r="B8" s="1" t="s">
        <v>260</v>
      </c>
    </row>
    <row r="9" spans="1:2" x14ac:dyDescent="0.15">
      <c r="A9" t="s">
        <v>85</v>
      </c>
      <c r="B9" s="1" t="s">
        <v>86</v>
      </c>
    </row>
    <row r="10" spans="1:2" x14ac:dyDescent="0.15">
      <c r="A10" t="s">
        <v>11</v>
      </c>
      <c r="B10" s="1" t="s">
        <v>257</v>
      </c>
    </row>
    <row r="11" spans="1:2" s="4" customFormat="1" x14ac:dyDescent="0.15">
      <c r="A11" s="4" t="s">
        <v>12</v>
      </c>
      <c r="B11" s="1" t="s">
        <v>263</v>
      </c>
    </row>
    <row r="12" spans="1:2" x14ac:dyDescent="0.15">
      <c r="A12" t="s">
        <v>87</v>
      </c>
      <c r="B12" s="1" t="s">
        <v>282</v>
      </c>
    </row>
    <row r="13" spans="1:2" x14ac:dyDescent="0.15">
      <c r="A13" t="s">
        <v>13</v>
      </c>
      <c r="B13" s="1" t="s">
        <v>278</v>
      </c>
    </row>
    <row r="14" spans="1:2" x14ac:dyDescent="0.15">
      <c r="A14" t="s">
        <v>14</v>
      </c>
      <c r="B14" s="1" t="s">
        <v>89</v>
      </c>
    </row>
    <row r="15" spans="1:2" x14ac:dyDescent="0.15">
      <c r="A15" t="s">
        <v>15</v>
      </c>
      <c r="B15" s="1" t="s">
        <v>90</v>
      </c>
    </row>
    <row r="16" spans="1:2" x14ac:dyDescent="0.15">
      <c r="A16" t="s">
        <v>16</v>
      </c>
      <c r="B16" s="1" t="s">
        <v>84</v>
      </c>
    </row>
    <row r="17" spans="1:2" x14ac:dyDescent="0.15">
      <c r="A17" t="s">
        <v>17</v>
      </c>
      <c r="B17" s="1" t="s">
        <v>91</v>
      </c>
    </row>
    <row r="18" spans="1:2" x14ac:dyDescent="0.15">
      <c r="A18" t="s">
        <v>18</v>
      </c>
      <c r="B18" s="1" t="s">
        <v>92</v>
      </c>
    </row>
    <row r="19" spans="1:2" x14ac:dyDescent="0.15">
      <c r="A19" t="s">
        <v>19</v>
      </c>
      <c r="B19" s="1" t="s">
        <v>92</v>
      </c>
    </row>
    <row r="20" spans="1:2" x14ac:dyDescent="0.15">
      <c r="A20" t="s">
        <v>20</v>
      </c>
      <c r="B20" s="1" t="s">
        <v>93</v>
      </c>
    </row>
    <row r="21" spans="1:2" x14ac:dyDescent="0.15">
      <c r="A21" t="s">
        <v>21</v>
      </c>
      <c r="B21" s="1" t="s">
        <v>88</v>
      </c>
    </row>
    <row r="22" spans="1:2" x14ac:dyDescent="0.15">
      <c r="A22" t="s">
        <v>22</v>
      </c>
      <c r="B22" s="1" t="s">
        <v>95</v>
      </c>
    </row>
    <row r="23" spans="1:2" x14ac:dyDescent="0.15">
      <c r="A23" t="s">
        <v>23</v>
      </c>
      <c r="B23" s="1" t="s">
        <v>94</v>
      </c>
    </row>
    <row r="24" spans="1:2" x14ac:dyDescent="0.15">
      <c r="A24" t="s">
        <v>83</v>
      </c>
      <c r="B24" s="1" t="s">
        <v>96</v>
      </c>
    </row>
    <row r="25" spans="1:2" x14ac:dyDescent="0.15">
      <c r="A25" t="s">
        <v>97</v>
      </c>
      <c r="B25" s="1" t="s">
        <v>98</v>
      </c>
    </row>
    <row r="26" spans="1:2" x14ac:dyDescent="0.15">
      <c r="A26" t="s">
        <v>101</v>
      </c>
      <c r="B26" s="1" t="s">
        <v>256</v>
      </c>
    </row>
    <row r="27" spans="1:2" x14ac:dyDescent="0.15">
      <c r="A27" t="s">
        <v>259</v>
      </c>
      <c r="B27" s="1" t="s">
        <v>258</v>
      </c>
    </row>
  </sheetData>
  <phoneticPr fontId="1"/>
  <pageMargins left="3.937007874015748E-2" right="0.23622047244094491" top="0.15748031496062992" bottom="0.15748031496062992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542925</xdr:colOff>
                    <xdr:row>5</xdr:row>
                    <xdr:rowOff>123825</xdr:rowOff>
                  </from>
                  <to>
                    <xdr:col>8</xdr:col>
                    <xdr:colOff>47625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4"/>
  <sheetViews>
    <sheetView topLeftCell="A31" workbookViewId="0">
      <selection activeCell="G36" sqref="G36"/>
    </sheetView>
  </sheetViews>
  <sheetFormatPr defaultRowHeight="13.5" x14ac:dyDescent="0.15"/>
  <cols>
    <col min="1" max="1" width="29.625" style="7" bestFit="1" customWidth="1"/>
    <col min="2" max="2" width="7.625" style="7" bestFit="1" customWidth="1"/>
    <col min="3" max="3" width="6.75" style="7" bestFit="1" customWidth="1"/>
    <col min="4" max="4" width="9.125" style="9" bestFit="1" customWidth="1"/>
    <col min="5" max="5" width="8.375" style="9" bestFit="1" customWidth="1"/>
    <col min="6" max="7" width="9" style="9"/>
    <col min="8" max="8" width="14" style="9" bestFit="1" customWidth="1"/>
    <col min="9" max="9" width="9" style="8"/>
    <col min="10" max="16384" width="9" style="7"/>
  </cols>
  <sheetData>
    <row r="1" spans="1:10" x14ac:dyDescent="0.15">
      <c r="A1" s="7" t="s">
        <v>24</v>
      </c>
      <c r="B1" s="7" t="s">
        <v>25</v>
      </c>
      <c r="C1" s="7" t="s">
        <v>144</v>
      </c>
      <c r="D1" s="9" t="s">
        <v>26</v>
      </c>
      <c r="E1" s="9" t="s">
        <v>27</v>
      </c>
      <c r="F1" s="9" t="s">
        <v>107</v>
      </c>
      <c r="G1" s="9" t="s">
        <v>108</v>
      </c>
      <c r="H1" s="9" t="s">
        <v>109</v>
      </c>
      <c r="I1" s="8" t="s">
        <v>102</v>
      </c>
      <c r="J1" s="9" t="s">
        <v>261</v>
      </c>
    </row>
    <row r="2" spans="1:10" x14ac:dyDescent="0.15">
      <c r="A2" s="7" t="s">
        <v>133</v>
      </c>
      <c r="B2" s="7" t="s">
        <v>103</v>
      </c>
      <c r="C2" s="7">
        <v>0</v>
      </c>
      <c r="D2" s="9" t="s">
        <v>110</v>
      </c>
      <c r="E2" s="9" t="s">
        <v>111</v>
      </c>
      <c r="F2" s="9" t="s">
        <v>112</v>
      </c>
      <c r="G2" s="9" t="s">
        <v>58</v>
      </c>
      <c r="H2" s="9" t="s">
        <v>113</v>
      </c>
      <c r="I2" s="8" t="str">
        <f>"group_"&amp;TEXT(ROW()-1,"000")</f>
        <v>group_001</v>
      </c>
      <c r="J2" s="7">
        <v>0</v>
      </c>
    </row>
    <row r="3" spans="1:10" x14ac:dyDescent="0.15">
      <c r="A3" s="7" t="s">
        <v>134</v>
      </c>
      <c r="B3" s="7" t="s">
        <v>103</v>
      </c>
      <c r="C3" s="7">
        <v>0</v>
      </c>
      <c r="D3" s="9" t="s">
        <v>111</v>
      </c>
      <c r="E3" s="9" t="s">
        <v>114</v>
      </c>
      <c r="F3" s="9" t="s">
        <v>66</v>
      </c>
      <c r="G3" s="9" t="s">
        <v>115</v>
      </c>
      <c r="H3" s="9" t="s">
        <v>116</v>
      </c>
      <c r="I3" s="8" t="str">
        <f>"group_"&amp;TEXT(ROW()-1,"000")</f>
        <v>group_002</v>
      </c>
      <c r="J3" s="7">
        <v>0</v>
      </c>
    </row>
    <row r="4" spans="1:10" x14ac:dyDescent="0.15">
      <c r="A4" s="7" t="s">
        <v>135</v>
      </c>
      <c r="B4" s="7" t="s">
        <v>103</v>
      </c>
      <c r="C4" s="7">
        <v>0</v>
      </c>
      <c r="D4" s="9" t="s">
        <v>114</v>
      </c>
      <c r="E4" s="9" t="s">
        <v>66</v>
      </c>
      <c r="I4" s="8" t="str">
        <f>"group_"&amp;TEXT(ROW()-1,"000")</f>
        <v>group_003</v>
      </c>
      <c r="J4" s="7">
        <v>0</v>
      </c>
    </row>
    <row r="5" spans="1:10" x14ac:dyDescent="0.15">
      <c r="A5" s="7" t="s">
        <v>40</v>
      </c>
      <c r="B5" s="7" t="s">
        <v>103</v>
      </c>
      <c r="C5" s="7">
        <v>0</v>
      </c>
      <c r="D5" s="9" t="s">
        <v>66</v>
      </c>
      <c r="E5" s="9" t="s">
        <v>67</v>
      </c>
      <c r="F5" s="9" t="s">
        <v>78</v>
      </c>
      <c r="G5" s="9" t="s">
        <v>44</v>
      </c>
      <c r="H5" s="9" t="s">
        <v>117</v>
      </c>
      <c r="I5" s="8" t="str">
        <f>"group_"&amp;TEXT(ROW()-1,"000")</f>
        <v>group_004</v>
      </c>
      <c r="J5" s="7">
        <v>0</v>
      </c>
    </row>
    <row r="6" spans="1:10" x14ac:dyDescent="0.15">
      <c r="A6" s="7" t="s">
        <v>35</v>
      </c>
      <c r="B6" s="7" t="s">
        <v>103</v>
      </c>
      <c r="C6" s="7">
        <v>0</v>
      </c>
      <c r="D6" s="9" t="s">
        <v>67</v>
      </c>
      <c r="E6" s="9" t="s">
        <v>68</v>
      </c>
      <c r="F6" s="9" t="s">
        <v>115</v>
      </c>
      <c r="G6" s="9" t="s">
        <v>45</v>
      </c>
      <c r="H6" s="9" t="s">
        <v>113</v>
      </c>
      <c r="I6" s="8" t="str">
        <f t="shared" ref="I6:I69" si="0">"group_"&amp;TEXT(ROW()-1,"000")</f>
        <v>group_005</v>
      </c>
      <c r="J6" s="7">
        <v>0</v>
      </c>
    </row>
    <row r="7" spans="1:10" x14ac:dyDescent="0.15">
      <c r="A7" s="7" t="s">
        <v>34</v>
      </c>
      <c r="B7" s="7" t="s">
        <v>103</v>
      </c>
      <c r="C7" s="7">
        <v>0</v>
      </c>
      <c r="D7" s="9" t="s">
        <v>68</v>
      </c>
      <c r="E7" s="9" t="s">
        <v>59</v>
      </c>
      <c r="F7" s="9" t="s">
        <v>118</v>
      </c>
      <c r="G7" s="9" t="s">
        <v>46</v>
      </c>
      <c r="H7" s="9" t="s">
        <v>116</v>
      </c>
      <c r="I7" s="8" t="str">
        <f t="shared" si="0"/>
        <v>group_006</v>
      </c>
      <c r="J7" s="7">
        <v>0</v>
      </c>
    </row>
    <row r="8" spans="1:10" x14ac:dyDescent="0.15">
      <c r="A8" s="7" t="s">
        <v>41</v>
      </c>
      <c r="B8" s="7" t="s">
        <v>103</v>
      </c>
      <c r="C8" s="7">
        <v>0</v>
      </c>
      <c r="D8" s="9" t="s">
        <v>59</v>
      </c>
      <c r="E8" s="9" t="s">
        <v>60</v>
      </c>
      <c r="F8" s="9" t="s">
        <v>119</v>
      </c>
      <c r="G8" s="9" t="s">
        <v>120</v>
      </c>
      <c r="H8" s="9" t="s">
        <v>117</v>
      </c>
      <c r="I8" s="8" t="str">
        <f t="shared" si="0"/>
        <v>group_007</v>
      </c>
      <c r="J8" s="7">
        <v>0</v>
      </c>
    </row>
    <row r="9" spans="1:10" x14ac:dyDescent="0.15">
      <c r="A9" s="7" t="s">
        <v>135</v>
      </c>
      <c r="B9" s="7" t="s">
        <v>103</v>
      </c>
      <c r="C9" s="7">
        <v>0</v>
      </c>
      <c r="D9" s="9" t="s">
        <v>60</v>
      </c>
      <c r="E9" s="9" t="s">
        <v>119</v>
      </c>
      <c r="I9" s="8" t="str">
        <f t="shared" si="0"/>
        <v>group_008</v>
      </c>
      <c r="J9" s="7">
        <v>0</v>
      </c>
    </row>
    <row r="10" spans="1:10" x14ac:dyDescent="0.15">
      <c r="A10" s="7" t="s">
        <v>136</v>
      </c>
      <c r="B10" s="7" t="s">
        <v>103</v>
      </c>
      <c r="C10" s="7">
        <v>0</v>
      </c>
      <c r="D10" s="9" t="s">
        <v>119</v>
      </c>
      <c r="E10" s="9" t="s">
        <v>121</v>
      </c>
      <c r="F10" s="9" t="s">
        <v>46</v>
      </c>
      <c r="G10" s="9" t="s">
        <v>61</v>
      </c>
      <c r="H10" s="9" t="s">
        <v>113</v>
      </c>
      <c r="I10" s="8" t="str">
        <f t="shared" si="0"/>
        <v>group_009</v>
      </c>
      <c r="J10" s="7">
        <v>0</v>
      </c>
    </row>
    <row r="11" spans="1:10" x14ac:dyDescent="0.15">
      <c r="A11" s="7" t="s">
        <v>137</v>
      </c>
      <c r="B11" s="7" t="s">
        <v>103</v>
      </c>
      <c r="C11" s="7">
        <v>0</v>
      </c>
      <c r="D11" s="9" t="s">
        <v>121</v>
      </c>
      <c r="E11" s="9" t="s">
        <v>69</v>
      </c>
      <c r="F11" s="9" t="s">
        <v>120</v>
      </c>
      <c r="G11" s="9" t="s">
        <v>62</v>
      </c>
      <c r="H11" s="9" t="s">
        <v>116</v>
      </c>
      <c r="I11" s="8" t="str">
        <f t="shared" si="0"/>
        <v>group_010</v>
      </c>
      <c r="J11" s="7">
        <v>0</v>
      </c>
    </row>
    <row r="12" spans="1:10" x14ac:dyDescent="0.15">
      <c r="A12" s="7" t="s">
        <v>42</v>
      </c>
      <c r="B12" s="7" t="s">
        <v>103</v>
      </c>
      <c r="C12" s="7">
        <v>0</v>
      </c>
      <c r="D12" s="9" t="s">
        <v>69</v>
      </c>
      <c r="E12" s="9" t="s">
        <v>70</v>
      </c>
      <c r="F12" s="9" t="s">
        <v>122</v>
      </c>
      <c r="G12" s="9" t="s">
        <v>123</v>
      </c>
      <c r="H12" s="9" t="s">
        <v>117</v>
      </c>
      <c r="I12" s="8" t="str">
        <f t="shared" si="0"/>
        <v>group_011</v>
      </c>
      <c r="J12" s="7">
        <v>0</v>
      </c>
    </row>
    <row r="13" spans="1:10" x14ac:dyDescent="0.15">
      <c r="A13" s="7" t="s">
        <v>138</v>
      </c>
      <c r="B13" s="7" t="s">
        <v>103</v>
      </c>
      <c r="C13" s="7">
        <v>0</v>
      </c>
      <c r="D13" s="9" t="s">
        <v>70</v>
      </c>
      <c r="E13" s="9" t="s">
        <v>71</v>
      </c>
      <c r="F13" s="9" t="s">
        <v>124</v>
      </c>
      <c r="G13" s="9" t="s">
        <v>125</v>
      </c>
      <c r="H13" s="9" t="s">
        <v>113</v>
      </c>
      <c r="I13" s="8" t="str">
        <f t="shared" si="0"/>
        <v>group_012</v>
      </c>
      <c r="J13" s="7">
        <v>0</v>
      </c>
    </row>
    <row r="14" spans="1:10" x14ac:dyDescent="0.15">
      <c r="A14" s="7" t="s">
        <v>135</v>
      </c>
      <c r="B14" s="7" t="s">
        <v>103</v>
      </c>
      <c r="C14" s="7">
        <v>0</v>
      </c>
      <c r="D14" s="9" t="s">
        <v>71</v>
      </c>
      <c r="E14" s="9" t="s">
        <v>124</v>
      </c>
      <c r="I14" s="8" t="str">
        <f t="shared" si="0"/>
        <v>group_013</v>
      </c>
      <c r="J14" s="7">
        <v>0</v>
      </c>
    </row>
    <row r="15" spans="1:10" x14ac:dyDescent="0.15">
      <c r="A15" s="7" t="s">
        <v>3</v>
      </c>
      <c r="B15" s="7" t="s">
        <v>103</v>
      </c>
      <c r="C15" s="7">
        <v>1</v>
      </c>
      <c r="D15" s="9" t="s">
        <v>124</v>
      </c>
      <c r="E15" s="9" t="s">
        <v>72</v>
      </c>
      <c r="F15" s="9" t="s">
        <v>123</v>
      </c>
      <c r="G15" s="9" t="s">
        <v>47</v>
      </c>
      <c r="H15" s="9" t="s">
        <v>116</v>
      </c>
      <c r="I15" s="8" t="str">
        <f t="shared" si="0"/>
        <v>group_014</v>
      </c>
      <c r="J15" s="7">
        <v>1</v>
      </c>
    </row>
    <row r="16" spans="1:10" x14ac:dyDescent="0.15">
      <c r="A16" s="7" t="s">
        <v>38</v>
      </c>
      <c r="B16" s="7" t="s">
        <v>103</v>
      </c>
      <c r="C16" s="7">
        <v>0</v>
      </c>
      <c r="D16" s="9" t="s">
        <v>72</v>
      </c>
      <c r="E16" s="9" t="s">
        <v>73</v>
      </c>
      <c r="F16" s="9" t="s">
        <v>125</v>
      </c>
      <c r="G16" s="9" t="s">
        <v>48</v>
      </c>
      <c r="H16" s="9" t="s">
        <v>117</v>
      </c>
      <c r="I16" s="8" t="str">
        <f t="shared" si="0"/>
        <v>group_015</v>
      </c>
      <c r="J16" s="7">
        <v>0</v>
      </c>
    </row>
    <row r="17" spans="1:10" x14ac:dyDescent="0.15">
      <c r="A17" s="7" t="s">
        <v>139</v>
      </c>
      <c r="B17" s="7" t="s">
        <v>103</v>
      </c>
      <c r="C17" s="7">
        <v>0</v>
      </c>
      <c r="D17" s="9" t="s">
        <v>73</v>
      </c>
      <c r="E17" s="9" t="s">
        <v>74</v>
      </c>
      <c r="F17" s="9" t="s">
        <v>126</v>
      </c>
      <c r="G17" s="9" t="s">
        <v>49</v>
      </c>
      <c r="H17" s="9" t="s">
        <v>113</v>
      </c>
      <c r="I17" s="8" t="str">
        <f t="shared" si="0"/>
        <v>group_016</v>
      </c>
      <c r="J17" s="7">
        <v>0</v>
      </c>
    </row>
    <row r="18" spans="1:10" x14ac:dyDescent="0.15">
      <c r="A18" s="7" t="s">
        <v>0</v>
      </c>
      <c r="B18" s="7" t="s">
        <v>103</v>
      </c>
      <c r="C18" s="7">
        <v>1</v>
      </c>
      <c r="D18" s="9" t="s">
        <v>74</v>
      </c>
      <c r="E18" s="9" t="s">
        <v>63</v>
      </c>
      <c r="F18" s="9" t="s">
        <v>79</v>
      </c>
      <c r="G18" s="9" t="s">
        <v>50</v>
      </c>
      <c r="H18" s="9" t="s">
        <v>116</v>
      </c>
      <c r="I18" s="8" t="str">
        <f t="shared" si="0"/>
        <v>group_017</v>
      </c>
      <c r="J18" s="7">
        <v>1</v>
      </c>
    </row>
    <row r="19" spans="1:10" x14ac:dyDescent="0.15">
      <c r="A19" s="7" t="s">
        <v>135</v>
      </c>
      <c r="B19" s="7" t="s">
        <v>103</v>
      </c>
      <c r="C19" s="7">
        <v>0</v>
      </c>
      <c r="D19" s="9" t="s">
        <v>63</v>
      </c>
      <c r="E19" s="9" t="s">
        <v>79</v>
      </c>
      <c r="I19" s="8" t="str">
        <f t="shared" si="0"/>
        <v>group_018</v>
      </c>
      <c r="J19" s="7">
        <v>0</v>
      </c>
    </row>
    <row r="20" spans="1:10" x14ac:dyDescent="0.15">
      <c r="A20" s="7" t="s">
        <v>43</v>
      </c>
      <c r="B20" s="7" t="s">
        <v>103</v>
      </c>
      <c r="C20" s="7">
        <v>0</v>
      </c>
      <c r="D20" s="9" t="s">
        <v>79</v>
      </c>
      <c r="E20" s="9" t="s">
        <v>80</v>
      </c>
      <c r="F20" s="9" t="s">
        <v>64</v>
      </c>
      <c r="G20" s="9" t="s">
        <v>75</v>
      </c>
      <c r="H20" s="9" t="s">
        <v>117</v>
      </c>
      <c r="I20" s="8" t="str">
        <f t="shared" si="0"/>
        <v>group_019</v>
      </c>
      <c r="J20" s="7">
        <v>0</v>
      </c>
    </row>
    <row r="21" spans="1:10" x14ac:dyDescent="0.15">
      <c r="A21" s="7" t="s">
        <v>1</v>
      </c>
      <c r="B21" s="7" t="s">
        <v>103</v>
      </c>
      <c r="C21" s="7">
        <v>1</v>
      </c>
      <c r="D21" s="9" t="s">
        <v>80</v>
      </c>
      <c r="E21" s="9" t="s">
        <v>127</v>
      </c>
      <c r="F21" s="9" t="s">
        <v>51</v>
      </c>
      <c r="G21" s="9" t="s">
        <v>76</v>
      </c>
      <c r="H21" s="9" t="s">
        <v>113</v>
      </c>
      <c r="I21" s="8" t="str">
        <f t="shared" si="0"/>
        <v>group_020</v>
      </c>
      <c r="J21" s="7">
        <v>1</v>
      </c>
    </row>
    <row r="22" spans="1:10" x14ac:dyDescent="0.15">
      <c r="A22" s="7" t="s">
        <v>140</v>
      </c>
      <c r="B22" s="7" t="s">
        <v>103</v>
      </c>
      <c r="C22" s="7">
        <v>0</v>
      </c>
      <c r="D22" s="9" t="s">
        <v>127</v>
      </c>
      <c r="E22" s="9" t="s">
        <v>128</v>
      </c>
      <c r="F22" s="9" t="s">
        <v>52</v>
      </c>
      <c r="G22" s="9" t="s">
        <v>55</v>
      </c>
      <c r="H22" s="9" t="s">
        <v>116</v>
      </c>
      <c r="I22" s="8" t="str">
        <f t="shared" si="0"/>
        <v>group_021</v>
      </c>
      <c r="J22" s="7">
        <v>0</v>
      </c>
    </row>
    <row r="23" spans="1:10" x14ac:dyDescent="0.15">
      <c r="A23" s="7" t="s">
        <v>141</v>
      </c>
      <c r="B23" s="7" t="s">
        <v>103</v>
      </c>
      <c r="C23" s="7">
        <v>0</v>
      </c>
      <c r="D23" s="9" t="s">
        <v>128</v>
      </c>
      <c r="E23" s="9" t="s">
        <v>129</v>
      </c>
      <c r="F23" s="9" t="s">
        <v>53</v>
      </c>
      <c r="G23" s="9" t="s">
        <v>56</v>
      </c>
      <c r="H23" s="9" t="s">
        <v>117</v>
      </c>
      <c r="I23" s="8" t="str">
        <f t="shared" si="0"/>
        <v>group_022</v>
      </c>
      <c r="J23" s="7">
        <v>0</v>
      </c>
    </row>
    <row r="24" spans="1:10" x14ac:dyDescent="0.15">
      <c r="A24" s="7" t="s">
        <v>135</v>
      </c>
      <c r="B24" s="7" t="s">
        <v>103</v>
      </c>
      <c r="C24" s="7">
        <v>0</v>
      </c>
      <c r="D24" s="9" t="s">
        <v>129</v>
      </c>
      <c r="E24" s="9" t="s">
        <v>53</v>
      </c>
      <c r="I24" s="8" t="str">
        <f t="shared" si="0"/>
        <v>group_023</v>
      </c>
      <c r="J24" s="7">
        <v>0</v>
      </c>
    </row>
    <row r="25" spans="1:10" x14ac:dyDescent="0.15">
      <c r="A25" s="7" t="s">
        <v>39</v>
      </c>
      <c r="B25" s="7" t="s">
        <v>103</v>
      </c>
      <c r="C25" s="7">
        <v>1</v>
      </c>
      <c r="D25" s="9" t="s">
        <v>53</v>
      </c>
      <c r="E25" s="9" t="s">
        <v>54</v>
      </c>
      <c r="F25" s="9" t="s">
        <v>55</v>
      </c>
      <c r="G25" s="9" t="s">
        <v>77</v>
      </c>
      <c r="H25" s="9" t="s">
        <v>113</v>
      </c>
      <c r="I25" s="8" t="str">
        <f t="shared" si="0"/>
        <v>group_024</v>
      </c>
      <c r="J25" s="7">
        <v>1</v>
      </c>
    </row>
    <row r="26" spans="1:10" x14ac:dyDescent="0.15">
      <c r="A26" s="7" t="s">
        <v>36</v>
      </c>
      <c r="B26" s="7" t="s">
        <v>103</v>
      </c>
      <c r="C26" s="7">
        <v>0</v>
      </c>
      <c r="D26" s="9" t="s">
        <v>54</v>
      </c>
      <c r="E26" s="9" t="s">
        <v>130</v>
      </c>
      <c r="F26" s="9" t="s">
        <v>81</v>
      </c>
      <c r="G26" s="9" t="s">
        <v>131</v>
      </c>
      <c r="H26" s="9" t="s">
        <v>116</v>
      </c>
      <c r="I26" s="8" t="str">
        <f t="shared" si="0"/>
        <v>group_025</v>
      </c>
      <c r="J26" s="7">
        <v>0</v>
      </c>
    </row>
    <row r="27" spans="1:10" x14ac:dyDescent="0.15">
      <c r="A27" s="7" t="s">
        <v>37</v>
      </c>
      <c r="B27" s="7" t="s">
        <v>103</v>
      </c>
      <c r="C27" s="7">
        <v>0</v>
      </c>
      <c r="D27" s="9" t="s">
        <v>130</v>
      </c>
      <c r="E27" s="9" t="s">
        <v>57</v>
      </c>
      <c r="F27" s="9" t="s">
        <v>81</v>
      </c>
      <c r="G27" s="9" t="s">
        <v>131</v>
      </c>
      <c r="H27" s="9" t="s">
        <v>105</v>
      </c>
      <c r="I27" s="8" t="str">
        <f t="shared" si="0"/>
        <v>group_026</v>
      </c>
      <c r="J27" s="7">
        <v>0</v>
      </c>
    </row>
    <row r="28" spans="1:10" x14ac:dyDescent="0.15">
      <c r="A28" s="7" t="s">
        <v>2</v>
      </c>
      <c r="B28" s="7" t="s">
        <v>103</v>
      </c>
      <c r="C28" s="7">
        <v>1</v>
      </c>
      <c r="D28" s="9" t="s">
        <v>57</v>
      </c>
      <c r="E28" s="9" t="s">
        <v>65</v>
      </c>
      <c r="F28" s="9" t="s">
        <v>81</v>
      </c>
      <c r="G28" s="9" t="s">
        <v>131</v>
      </c>
      <c r="H28" s="9" t="s">
        <v>132</v>
      </c>
      <c r="I28" s="8" t="str">
        <f t="shared" si="0"/>
        <v>group_027</v>
      </c>
      <c r="J28" s="7">
        <v>1</v>
      </c>
    </row>
    <row r="29" spans="1:10" x14ac:dyDescent="0.15">
      <c r="A29" s="7" t="s">
        <v>222</v>
      </c>
      <c r="B29" s="7" t="s">
        <v>215</v>
      </c>
      <c r="C29" s="7">
        <v>0</v>
      </c>
      <c r="D29" s="6" t="s">
        <v>114</v>
      </c>
      <c r="E29" s="9" t="s">
        <v>170</v>
      </c>
      <c r="F29" s="6" t="s">
        <v>171</v>
      </c>
      <c r="G29" s="9" t="s">
        <v>172</v>
      </c>
      <c r="H29" s="9" t="s">
        <v>211</v>
      </c>
      <c r="I29" s="8" t="str">
        <f t="shared" si="0"/>
        <v>group_028</v>
      </c>
      <c r="J29" s="7">
        <v>0</v>
      </c>
    </row>
    <row r="30" spans="1:10" x14ac:dyDescent="0.15">
      <c r="A30" s="7" t="s">
        <v>145</v>
      </c>
      <c r="B30" s="7" t="s">
        <v>215</v>
      </c>
      <c r="C30" s="7">
        <v>0</v>
      </c>
      <c r="D30" s="9" t="s">
        <v>170</v>
      </c>
      <c r="E30" s="9" t="s">
        <v>173</v>
      </c>
      <c r="F30" s="6" t="s">
        <v>174</v>
      </c>
      <c r="G30" s="9" t="s">
        <v>60</v>
      </c>
      <c r="H30" s="9" t="s">
        <v>212</v>
      </c>
      <c r="I30" s="8" t="str">
        <f t="shared" si="0"/>
        <v>group_029</v>
      </c>
      <c r="J30" s="7">
        <v>0</v>
      </c>
    </row>
    <row r="31" spans="1:10" x14ac:dyDescent="0.15">
      <c r="A31" s="7" t="s">
        <v>218</v>
      </c>
      <c r="B31" s="7" t="s">
        <v>215</v>
      </c>
      <c r="C31" s="7">
        <v>0</v>
      </c>
      <c r="D31" s="9" t="s">
        <v>173</v>
      </c>
      <c r="E31" s="9" t="s">
        <v>68</v>
      </c>
      <c r="F31" s="6" t="s">
        <v>115</v>
      </c>
      <c r="G31" s="9" t="s">
        <v>45</v>
      </c>
      <c r="H31" s="9" t="s">
        <v>213</v>
      </c>
      <c r="I31" s="8" t="str">
        <f t="shared" si="0"/>
        <v>group_030</v>
      </c>
      <c r="J31" s="7">
        <v>0</v>
      </c>
    </row>
    <row r="32" spans="1:10" x14ac:dyDescent="0.15">
      <c r="A32" s="7" t="s">
        <v>146</v>
      </c>
      <c r="B32" s="7" t="s">
        <v>215</v>
      </c>
      <c r="C32" s="7">
        <v>0</v>
      </c>
      <c r="D32" s="9" t="s">
        <v>68</v>
      </c>
      <c r="E32" s="9" t="s">
        <v>175</v>
      </c>
      <c r="F32" s="6" t="s">
        <v>172</v>
      </c>
      <c r="G32" s="9" t="s">
        <v>176</v>
      </c>
      <c r="H32" s="9" t="s">
        <v>214</v>
      </c>
      <c r="I32" s="8" t="str">
        <f t="shared" si="0"/>
        <v>group_031</v>
      </c>
      <c r="J32" s="7">
        <v>0</v>
      </c>
    </row>
    <row r="33" spans="1:10" x14ac:dyDescent="0.15">
      <c r="A33" s="7" t="s">
        <v>147</v>
      </c>
      <c r="B33" s="7" t="s">
        <v>215</v>
      </c>
      <c r="C33" s="7">
        <v>0</v>
      </c>
      <c r="D33" s="9" t="s">
        <v>175</v>
      </c>
      <c r="E33" s="9" t="s">
        <v>59</v>
      </c>
      <c r="F33" s="6"/>
      <c r="I33" s="8" t="str">
        <f t="shared" si="0"/>
        <v>group_032</v>
      </c>
      <c r="J33" s="7">
        <v>0</v>
      </c>
    </row>
    <row r="34" spans="1:10" x14ac:dyDescent="0.15">
      <c r="A34" s="7" t="s">
        <v>148</v>
      </c>
      <c r="B34" s="7" t="s">
        <v>215</v>
      </c>
      <c r="C34" s="7">
        <v>0</v>
      </c>
      <c r="D34" s="9" t="s">
        <v>59</v>
      </c>
      <c r="E34" s="9" t="s">
        <v>44</v>
      </c>
      <c r="F34" s="6" t="s">
        <v>177</v>
      </c>
      <c r="G34" s="9" t="s">
        <v>178</v>
      </c>
      <c r="H34" s="9" t="s">
        <v>211</v>
      </c>
      <c r="I34" s="8" t="str">
        <f t="shared" si="0"/>
        <v>group_033</v>
      </c>
      <c r="J34" s="7">
        <v>0</v>
      </c>
    </row>
    <row r="35" spans="1:10" x14ac:dyDescent="0.15">
      <c r="A35" s="7" t="s">
        <v>149</v>
      </c>
      <c r="B35" s="7" t="s">
        <v>215</v>
      </c>
      <c r="C35" s="7">
        <v>0</v>
      </c>
      <c r="D35" s="9" t="s">
        <v>44</v>
      </c>
      <c r="E35" s="9" t="s">
        <v>179</v>
      </c>
      <c r="F35" s="6" t="s">
        <v>180</v>
      </c>
      <c r="G35" s="9" t="s">
        <v>70</v>
      </c>
      <c r="H35" s="9" t="s">
        <v>212</v>
      </c>
      <c r="I35" s="8" t="str">
        <f t="shared" si="0"/>
        <v>group_034</v>
      </c>
      <c r="J35" s="7">
        <v>0</v>
      </c>
    </row>
    <row r="36" spans="1:10" x14ac:dyDescent="0.15">
      <c r="A36" s="7" t="s">
        <v>150</v>
      </c>
      <c r="B36" s="7" t="s">
        <v>215</v>
      </c>
      <c r="C36" s="7">
        <v>0</v>
      </c>
      <c r="D36" s="9" t="s">
        <v>179</v>
      </c>
      <c r="E36" s="9" t="s">
        <v>121</v>
      </c>
      <c r="F36" s="6" t="s">
        <v>46</v>
      </c>
      <c r="G36" s="9" t="s">
        <v>61</v>
      </c>
      <c r="H36" s="9" t="s">
        <v>213</v>
      </c>
      <c r="I36" s="8" t="str">
        <f t="shared" si="0"/>
        <v>group_035</v>
      </c>
      <c r="J36" s="7">
        <v>0</v>
      </c>
    </row>
    <row r="37" spans="1:10" x14ac:dyDescent="0.15">
      <c r="A37" s="7" t="s">
        <v>151</v>
      </c>
      <c r="B37" s="7" t="s">
        <v>215</v>
      </c>
      <c r="C37" s="7">
        <v>0</v>
      </c>
      <c r="D37" s="9" t="s">
        <v>121</v>
      </c>
      <c r="E37" s="9" t="s">
        <v>181</v>
      </c>
      <c r="F37" s="6" t="s">
        <v>178</v>
      </c>
      <c r="G37" s="9" t="s">
        <v>182</v>
      </c>
      <c r="H37" s="9" t="s">
        <v>214</v>
      </c>
      <c r="I37" s="8" t="str">
        <f t="shared" si="0"/>
        <v>group_036</v>
      </c>
      <c r="J37" s="7">
        <v>0</v>
      </c>
    </row>
    <row r="38" spans="1:10" x14ac:dyDescent="0.15">
      <c r="A38" s="7" t="s">
        <v>147</v>
      </c>
      <c r="B38" s="7" t="s">
        <v>215</v>
      </c>
      <c r="C38" s="7">
        <v>0</v>
      </c>
      <c r="D38" s="9" t="s">
        <v>181</v>
      </c>
      <c r="E38" s="9" t="s">
        <v>69</v>
      </c>
      <c r="F38" s="6"/>
      <c r="I38" s="8" t="str">
        <f t="shared" si="0"/>
        <v>group_037</v>
      </c>
      <c r="J38" s="7">
        <v>0</v>
      </c>
    </row>
    <row r="39" spans="1:10" x14ac:dyDescent="0.15">
      <c r="A39" s="7" t="s">
        <v>152</v>
      </c>
      <c r="B39" s="7" t="s">
        <v>215</v>
      </c>
      <c r="C39" s="7">
        <v>0</v>
      </c>
      <c r="D39" s="9" t="s">
        <v>69</v>
      </c>
      <c r="E39" s="9" t="s">
        <v>183</v>
      </c>
      <c r="F39" s="6" t="s">
        <v>184</v>
      </c>
      <c r="G39" s="9" t="s">
        <v>185</v>
      </c>
      <c r="H39" s="9" t="s">
        <v>211</v>
      </c>
      <c r="I39" s="8" t="str">
        <f t="shared" si="0"/>
        <v>group_038</v>
      </c>
      <c r="J39" s="7">
        <v>0</v>
      </c>
    </row>
    <row r="40" spans="1:10" x14ac:dyDescent="0.15">
      <c r="A40" s="7" t="s">
        <v>153</v>
      </c>
      <c r="B40" s="7" t="s">
        <v>215</v>
      </c>
      <c r="C40" s="7">
        <v>0</v>
      </c>
      <c r="D40" s="9" t="s">
        <v>183</v>
      </c>
      <c r="E40" s="9" t="s">
        <v>186</v>
      </c>
      <c r="F40" s="6" t="s">
        <v>71</v>
      </c>
      <c r="G40" s="9" t="s">
        <v>73</v>
      </c>
      <c r="H40" s="9" t="s">
        <v>212</v>
      </c>
      <c r="I40" s="8" t="str">
        <f t="shared" si="0"/>
        <v>group_039</v>
      </c>
      <c r="J40" s="7">
        <v>0</v>
      </c>
    </row>
    <row r="41" spans="1:10" x14ac:dyDescent="0.15">
      <c r="A41" s="7" t="s">
        <v>154</v>
      </c>
      <c r="B41" s="7" t="s">
        <v>215</v>
      </c>
      <c r="C41" s="7">
        <v>0</v>
      </c>
      <c r="D41" s="9" t="s">
        <v>186</v>
      </c>
      <c r="E41" s="9" t="s">
        <v>124</v>
      </c>
      <c r="F41" s="6" t="s">
        <v>62</v>
      </c>
      <c r="G41" s="9" t="s">
        <v>187</v>
      </c>
      <c r="H41" s="9" t="s">
        <v>213</v>
      </c>
      <c r="I41" s="8" t="str">
        <f t="shared" si="0"/>
        <v>group_040</v>
      </c>
      <c r="J41" s="7">
        <v>0</v>
      </c>
    </row>
    <row r="42" spans="1:10" x14ac:dyDescent="0.15">
      <c r="A42" s="7" t="s">
        <v>155</v>
      </c>
      <c r="B42" s="7" t="s">
        <v>215</v>
      </c>
      <c r="C42" s="7">
        <v>0</v>
      </c>
      <c r="D42" s="9" t="s">
        <v>124</v>
      </c>
      <c r="E42" s="9" t="s">
        <v>188</v>
      </c>
      <c r="F42" s="6" t="s">
        <v>185</v>
      </c>
      <c r="G42" s="9" t="s">
        <v>189</v>
      </c>
      <c r="H42" s="9" t="s">
        <v>214</v>
      </c>
      <c r="I42" s="8" t="str">
        <f t="shared" si="0"/>
        <v>group_041</v>
      </c>
      <c r="J42" s="7">
        <v>0</v>
      </c>
    </row>
    <row r="43" spans="1:10" x14ac:dyDescent="0.15">
      <c r="A43" s="7" t="s">
        <v>147</v>
      </c>
      <c r="B43" s="7" t="s">
        <v>215</v>
      </c>
      <c r="C43" s="7">
        <v>0</v>
      </c>
      <c r="D43" s="9" t="s">
        <v>188</v>
      </c>
      <c r="E43" s="9" t="s">
        <v>72</v>
      </c>
      <c r="F43" s="6"/>
      <c r="I43" s="8" t="str">
        <f t="shared" si="0"/>
        <v>group_042</v>
      </c>
      <c r="J43" s="7">
        <v>0</v>
      </c>
    </row>
    <row r="44" spans="1:10" x14ac:dyDescent="0.15">
      <c r="A44" s="7" t="s">
        <v>156</v>
      </c>
      <c r="B44" s="7" t="s">
        <v>215</v>
      </c>
      <c r="C44" s="7">
        <v>0</v>
      </c>
      <c r="D44" s="9" t="s">
        <v>72</v>
      </c>
      <c r="E44" s="9" t="s">
        <v>190</v>
      </c>
      <c r="F44" s="6" t="s">
        <v>191</v>
      </c>
      <c r="G44" s="9" t="s">
        <v>192</v>
      </c>
      <c r="H44" s="9" t="s">
        <v>211</v>
      </c>
      <c r="I44" s="8" t="str">
        <f t="shared" si="0"/>
        <v>group_043</v>
      </c>
      <c r="J44" s="7">
        <v>0</v>
      </c>
    </row>
    <row r="45" spans="1:10" x14ac:dyDescent="0.15">
      <c r="A45" s="7" t="s">
        <v>40</v>
      </c>
      <c r="B45" s="7" t="s">
        <v>215</v>
      </c>
      <c r="C45" s="7">
        <v>0</v>
      </c>
      <c r="D45" s="9" t="s">
        <v>190</v>
      </c>
      <c r="E45" s="9" t="s">
        <v>193</v>
      </c>
      <c r="F45" s="6" t="s">
        <v>74</v>
      </c>
      <c r="G45" s="9" t="s">
        <v>194</v>
      </c>
      <c r="H45" s="9" t="s">
        <v>212</v>
      </c>
      <c r="I45" s="8" t="str">
        <f t="shared" si="0"/>
        <v>group_044</v>
      </c>
      <c r="J45" s="7">
        <v>0</v>
      </c>
    </row>
    <row r="46" spans="1:10" x14ac:dyDescent="0.15">
      <c r="A46" s="7" t="s">
        <v>157</v>
      </c>
      <c r="B46" s="7" t="s">
        <v>215</v>
      </c>
      <c r="C46" s="7">
        <v>0</v>
      </c>
      <c r="D46" s="9" t="s">
        <v>193</v>
      </c>
      <c r="E46" s="9" t="s">
        <v>126</v>
      </c>
      <c r="F46" s="6" t="s">
        <v>47</v>
      </c>
      <c r="G46" s="9" t="s">
        <v>195</v>
      </c>
      <c r="H46" s="9" t="s">
        <v>213</v>
      </c>
      <c r="I46" s="8" t="str">
        <f t="shared" si="0"/>
        <v>group_045</v>
      </c>
      <c r="J46" s="7">
        <v>0</v>
      </c>
    </row>
    <row r="47" spans="1:10" x14ac:dyDescent="0.15">
      <c r="A47" s="7" t="s">
        <v>158</v>
      </c>
      <c r="B47" s="7" t="s">
        <v>215</v>
      </c>
      <c r="C47" s="7">
        <v>0</v>
      </c>
      <c r="D47" s="9" t="s">
        <v>126</v>
      </c>
      <c r="E47" s="9" t="s">
        <v>196</v>
      </c>
      <c r="F47" s="6" t="s">
        <v>192</v>
      </c>
      <c r="G47" s="9" t="s">
        <v>51</v>
      </c>
      <c r="H47" s="9" t="s">
        <v>214</v>
      </c>
      <c r="I47" s="8" t="str">
        <f t="shared" si="0"/>
        <v>group_046</v>
      </c>
      <c r="J47" s="7">
        <v>0</v>
      </c>
    </row>
    <row r="48" spans="1:10" x14ac:dyDescent="0.15">
      <c r="A48" s="7" t="s">
        <v>147</v>
      </c>
      <c r="B48" s="7" t="s">
        <v>215</v>
      </c>
      <c r="C48" s="7">
        <v>0</v>
      </c>
      <c r="D48" s="9" t="s">
        <v>196</v>
      </c>
      <c r="E48" s="9" t="s">
        <v>79</v>
      </c>
      <c r="F48" s="6"/>
      <c r="I48" s="8" t="str">
        <f t="shared" si="0"/>
        <v>group_047</v>
      </c>
      <c r="J48" s="7">
        <v>0</v>
      </c>
    </row>
    <row r="49" spans="1:10" x14ac:dyDescent="0.15">
      <c r="A49" s="7" t="s">
        <v>159</v>
      </c>
      <c r="B49" s="7" t="s">
        <v>215</v>
      </c>
      <c r="C49" s="7">
        <v>1</v>
      </c>
      <c r="D49" s="9" t="s">
        <v>79</v>
      </c>
      <c r="E49" s="9" t="s">
        <v>197</v>
      </c>
      <c r="F49" s="6" t="s">
        <v>197</v>
      </c>
      <c r="G49" s="9" t="s">
        <v>128</v>
      </c>
      <c r="H49" s="9" t="s">
        <v>211</v>
      </c>
      <c r="I49" s="8" t="str">
        <f t="shared" si="0"/>
        <v>group_048</v>
      </c>
      <c r="J49" s="7">
        <v>1</v>
      </c>
    </row>
    <row r="50" spans="1:10" x14ac:dyDescent="0.15">
      <c r="A50" s="7" t="s">
        <v>160</v>
      </c>
      <c r="B50" s="7" t="s">
        <v>215</v>
      </c>
      <c r="C50" s="7">
        <v>0</v>
      </c>
      <c r="D50" s="9" t="s">
        <v>197</v>
      </c>
      <c r="E50" s="9" t="s">
        <v>64</v>
      </c>
      <c r="F50" s="6" t="s">
        <v>198</v>
      </c>
      <c r="G50" s="9" t="s">
        <v>199</v>
      </c>
      <c r="H50" s="9" t="s">
        <v>212</v>
      </c>
      <c r="I50" s="8" t="str">
        <f t="shared" si="0"/>
        <v>group_049</v>
      </c>
      <c r="J50" s="7">
        <v>0</v>
      </c>
    </row>
    <row r="51" spans="1:10" x14ac:dyDescent="0.15">
      <c r="A51" s="7" t="s">
        <v>161</v>
      </c>
      <c r="B51" s="7" t="s">
        <v>215</v>
      </c>
      <c r="C51" s="7">
        <v>0</v>
      </c>
      <c r="D51" s="9" t="s">
        <v>64</v>
      </c>
      <c r="E51" s="9" t="s">
        <v>50</v>
      </c>
      <c r="F51" s="6" t="s">
        <v>200</v>
      </c>
      <c r="G51" s="9" t="s">
        <v>201</v>
      </c>
      <c r="H51" s="9" t="s">
        <v>213</v>
      </c>
      <c r="I51" s="8" t="str">
        <f t="shared" si="0"/>
        <v>group_050</v>
      </c>
      <c r="J51" s="7">
        <v>0</v>
      </c>
    </row>
    <row r="52" spans="1:10" x14ac:dyDescent="0.15">
      <c r="A52" s="7" t="s">
        <v>162</v>
      </c>
      <c r="B52" s="7" t="s">
        <v>215</v>
      </c>
      <c r="C52" s="7">
        <v>1</v>
      </c>
      <c r="D52" s="9" t="s">
        <v>50</v>
      </c>
      <c r="E52" s="9" t="s">
        <v>128</v>
      </c>
      <c r="F52" s="6" t="s">
        <v>52</v>
      </c>
      <c r="G52" s="9" t="s">
        <v>55</v>
      </c>
      <c r="H52" s="9" t="s">
        <v>214</v>
      </c>
      <c r="I52" s="8" t="str">
        <f t="shared" si="0"/>
        <v>group_051</v>
      </c>
      <c r="J52" s="7">
        <v>1</v>
      </c>
    </row>
    <row r="53" spans="1:10" x14ac:dyDescent="0.15">
      <c r="A53" s="7" t="s">
        <v>147</v>
      </c>
      <c r="B53" s="7" t="s">
        <v>215</v>
      </c>
      <c r="C53" s="7">
        <v>0</v>
      </c>
      <c r="D53" s="9" t="s">
        <v>128</v>
      </c>
      <c r="E53" s="9" t="s">
        <v>202</v>
      </c>
      <c r="F53" s="6"/>
      <c r="I53" s="8" t="str">
        <f t="shared" si="0"/>
        <v>group_052</v>
      </c>
      <c r="J53" s="7">
        <v>0</v>
      </c>
    </row>
    <row r="54" spans="1:10" x14ac:dyDescent="0.15">
      <c r="A54" s="7" t="s">
        <v>163</v>
      </c>
      <c r="B54" s="7" t="s">
        <v>215</v>
      </c>
      <c r="C54" s="7">
        <v>0</v>
      </c>
      <c r="D54" s="9" t="s">
        <v>202</v>
      </c>
      <c r="E54" s="9" t="s">
        <v>129</v>
      </c>
      <c r="F54" s="6" t="s">
        <v>53</v>
      </c>
      <c r="G54" s="9" t="s">
        <v>56</v>
      </c>
      <c r="H54" s="9" t="s">
        <v>211</v>
      </c>
      <c r="I54" s="8" t="str">
        <f t="shared" si="0"/>
        <v>group_053</v>
      </c>
      <c r="J54" s="7">
        <v>0</v>
      </c>
    </row>
    <row r="55" spans="1:10" x14ac:dyDescent="0.15">
      <c r="A55" s="7" t="s">
        <v>164</v>
      </c>
      <c r="B55" s="7" t="s">
        <v>215</v>
      </c>
      <c r="C55" s="7">
        <v>0</v>
      </c>
      <c r="D55" s="9" t="s">
        <v>129</v>
      </c>
      <c r="E55" s="9" t="s">
        <v>76</v>
      </c>
      <c r="F55" s="6" t="s">
        <v>203</v>
      </c>
      <c r="G55" s="9" t="s">
        <v>204</v>
      </c>
      <c r="H55" s="9" t="s">
        <v>212</v>
      </c>
      <c r="I55" s="8" t="str">
        <f t="shared" si="0"/>
        <v>group_054</v>
      </c>
      <c r="J55" s="7">
        <v>0</v>
      </c>
    </row>
    <row r="56" spans="1:10" x14ac:dyDescent="0.15">
      <c r="A56" s="7" t="s">
        <v>165</v>
      </c>
      <c r="B56" s="7" t="s">
        <v>215</v>
      </c>
      <c r="C56" s="7">
        <v>0</v>
      </c>
      <c r="D56" s="9" t="s">
        <v>76</v>
      </c>
      <c r="E56" s="9" t="s">
        <v>205</v>
      </c>
      <c r="F56" s="6" t="s">
        <v>206</v>
      </c>
      <c r="G56" s="9" t="s">
        <v>207</v>
      </c>
      <c r="H56" s="9" t="s">
        <v>213</v>
      </c>
      <c r="I56" s="8" t="str">
        <f t="shared" si="0"/>
        <v>group_055</v>
      </c>
      <c r="J56" s="7">
        <v>0</v>
      </c>
    </row>
    <row r="57" spans="1:10" x14ac:dyDescent="0.15">
      <c r="A57" s="7" t="s">
        <v>166</v>
      </c>
      <c r="B57" s="7" t="s">
        <v>215</v>
      </c>
      <c r="C57" s="7">
        <v>0</v>
      </c>
      <c r="D57" s="9" t="s">
        <v>205</v>
      </c>
      <c r="E57" s="9" t="s">
        <v>208</v>
      </c>
      <c r="F57" s="6" t="s">
        <v>56</v>
      </c>
      <c r="G57" s="9" t="s">
        <v>209</v>
      </c>
      <c r="H57" s="9" t="s">
        <v>214</v>
      </c>
      <c r="I57" s="8" t="str">
        <f t="shared" si="0"/>
        <v>group_056</v>
      </c>
      <c r="J57" s="7">
        <v>0</v>
      </c>
    </row>
    <row r="58" spans="1:10" x14ac:dyDescent="0.15">
      <c r="A58" s="7" t="s">
        <v>147</v>
      </c>
      <c r="B58" s="7" t="s">
        <v>215</v>
      </c>
      <c r="C58" s="7">
        <v>0</v>
      </c>
      <c r="D58" s="9" t="s">
        <v>208</v>
      </c>
      <c r="E58" s="9" t="s">
        <v>130</v>
      </c>
      <c r="F58" s="6"/>
      <c r="I58" s="8" t="str">
        <f t="shared" si="0"/>
        <v>group_057</v>
      </c>
      <c r="J58" s="7">
        <v>0</v>
      </c>
    </row>
    <row r="59" spans="1:10" x14ac:dyDescent="0.15">
      <c r="A59" s="7" t="s">
        <v>167</v>
      </c>
      <c r="B59" s="7" t="s">
        <v>215</v>
      </c>
      <c r="C59" s="7">
        <v>2</v>
      </c>
      <c r="D59" s="9" t="s">
        <v>130</v>
      </c>
      <c r="E59" s="9" t="s">
        <v>210</v>
      </c>
      <c r="F59" s="6" t="s">
        <v>81</v>
      </c>
      <c r="G59" s="9" t="s">
        <v>131</v>
      </c>
      <c r="H59" s="9" t="s">
        <v>211</v>
      </c>
      <c r="I59" s="8" t="str">
        <f t="shared" si="0"/>
        <v>group_058</v>
      </c>
      <c r="J59" s="7">
        <v>0</v>
      </c>
    </row>
    <row r="60" spans="1:10" x14ac:dyDescent="0.15">
      <c r="A60" s="7" t="s">
        <v>168</v>
      </c>
      <c r="B60" s="7" t="s">
        <v>215</v>
      </c>
      <c r="C60" s="7">
        <v>0</v>
      </c>
      <c r="D60" s="9" t="s">
        <v>210</v>
      </c>
      <c r="E60" s="9" t="s">
        <v>77</v>
      </c>
      <c r="F60" s="6" t="s">
        <v>81</v>
      </c>
      <c r="G60" s="9" t="s">
        <v>131</v>
      </c>
      <c r="H60" s="9" t="s">
        <v>212</v>
      </c>
      <c r="I60" s="8" t="str">
        <f t="shared" si="0"/>
        <v>group_059</v>
      </c>
      <c r="J60" s="7">
        <v>0</v>
      </c>
    </row>
    <row r="61" spans="1:10" x14ac:dyDescent="0.15">
      <c r="A61" s="7" t="s">
        <v>169</v>
      </c>
      <c r="B61" s="7" t="s">
        <v>215</v>
      </c>
      <c r="C61" s="7">
        <v>0</v>
      </c>
      <c r="D61" s="9" t="s">
        <v>77</v>
      </c>
      <c r="E61" s="9" t="s">
        <v>65</v>
      </c>
      <c r="F61" s="6" t="s">
        <v>81</v>
      </c>
      <c r="G61" s="9" t="s">
        <v>131</v>
      </c>
      <c r="H61" s="9" t="s">
        <v>213</v>
      </c>
      <c r="I61" s="8" t="str">
        <f t="shared" si="0"/>
        <v>group_060</v>
      </c>
      <c r="J61" s="7">
        <v>0</v>
      </c>
    </row>
    <row r="62" spans="1:10" x14ac:dyDescent="0.15">
      <c r="A62" s="7" t="s">
        <v>223</v>
      </c>
      <c r="B62" s="7" t="s">
        <v>220</v>
      </c>
      <c r="C62" s="7">
        <v>0</v>
      </c>
      <c r="D62" s="9" t="s">
        <v>114</v>
      </c>
      <c r="E62" s="9" t="s">
        <v>170</v>
      </c>
      <c r="F62" s="9" t="s">
        <v>224</v>
      </c>
      <c r="G62" s="9" t="s">
        <v>59</v>
      </c>
      <c r="H62" s="9" t="s">
        <v>113</v>
      </c>
      <c r="I62" s="8" t="str">
        <f t="shared" si="0"/>
        <v>group_061</v>
      </c>
      <c r="J62" s="7">
        <v>0</v>
      </c>
    </row>
    <row r="63" spans="1:10" x14ac:dyDescent="0.15">
      <c r="A63" s="7" t="s">
        <v>225</v>
      </c>
      <c r="B63" s="7" t="s">
        <v>220</v>
      </c>
      <c r="C63" s="7">
        <v>0</v>
      </c>
      <c r="D63" s="9" t="s">
        <v>170</v>
      </c>
      <c r="E63" s="9" t="s">
        <v>173</v>
      </c>
      <c r="F63" s="9" t="s">
        <v>78</v>
      </c>
      <c r="G63" s="9" t="s">
        <v>44</v>
      </c>
      <c r="H63" s="9" t="s">
        <v>116</v>
      </c>
      <c r="I63" s="8" t="str">
        <f t="shared" si="0"/>
        <v>group_062</v>
      </c>
      <c r="J63" s="7">
        <v>0</v>
      </c>
    </row>
    <row r="64" spans="1:10" x14ac:dyDescent="0.15">
      <c r="A64" s="7" t="s">
        <v>226</v>
      </c>
      <c r="B64" s="7" t="s">
        <v>220</v>
      </c>
      <c r="C64" s="7">
        <v>0</v>
      </c>
      <c r="D64" s="9" t="s">
        <v>173</v>
      </c>
      <c r="E64" s="9" t="s">
        <v>68</v>
      </c>
      <c r="F64" s="9" t="s">
        <v>115</v>
      </c>
      <c r="G64" s="9" t="s">
        <v>45</v>
      </c>
      <c r="H64" s="9" t="s">
        <v>227</v>
      </c>
      <c r="I64" s="8" t="str">
        <f t="shared" si="0"/>
        <v>group_063</v>
      </c>
      <c r="J64" s="7">
        <v>0</v>
      </c>
    </row>
    <row r="65" spans="1:10" x14ac:dyDescent="0.15">
      <c r="A65" s="7" t="s">
        <v>228</v>
      </c>
      <c r="B65" s="7" t="s">
        <v>220</v>
      </c>
      <c r="C65" s="7">
        <v>0</v>
      </c>
      <c r="D65" s="9" t="s">
        <v>68</v>
      </c>
      <c r="E65" s="9" t="s">
        <v>175</v>
      </c>
      <c r="F65" s="9" t="s">
        <v>172</v>
      </c>
      <c r="G65" s="9" t="s">
        <v>176</v>
      </c>
      <c r="H65" s="9" t="s">
        <v>229</v>
      </c>
      <c r="I65" s="8" t="str">
        <f t="shared" si="0"/>
        <v>group_064</v>
      </c>
      <c r="J65" s="7">
        <v>0</v>
      </c>
    </row>
    <row r="66" spans="1:10" x14ac:dyDescent="0.15">
      <c r="A66" s="7" t="s">
        <v>147</v>
      </c>
      <c r="B66" s="7" t="s">
        <v>220</v>
      </c>
      <c r="C66" s="7">
        <v>0</v>
      </c>
      <c r="D66" s="9" t="s">
        <v>175</v>
      </c>
      <c r="E66" s="9" t="s">
        <v>59</v>
      </c>
      <c r="I66" s="8" t="str">
        <f t="shared" si="0"/>
        <v>group_065</v>
      </c>
      <c r="J66" s="7">
        <v>0</v>
      </c>
    </row>
    <row r="67" spans="1:10" x14ac:dyDescent="0.15">
      <c r="A67" s="7" t="s">
        <v>230</v>
      </c>
      <c r="B67" s="7" t="s">
        <v>220</v>
      </c>
      <c r="C67" s="7">
        <v>0</v>
      </c>
      <c r="D67" s="9" t="s">
        <v>59</v>
      </c>
      <c r="E67" s="9" t="s">
        <v>44</v>
      </c>
      <c r="F67" s="9" t="s">
        <v>60</v>
      </c>
      <c r="G67" s="9" t="s">
        <v>69</v>
      </c>
      <c r="H67" s="9" t="s">
        <v>113</v>
      </c>
      <c r="I67" s="8" t="str">
        <f t="shared" si="0"/>
        <v>group_066</v>
      </c>
      <c r="J67" s="7">
        <v>0</v>
      </c>
    </row>
    <row r="68" spans="1:10" x14ac:dyDescent="0.15">
      <c r="A68" s="7" t="s">
        <v>231</v>
      </c>
      <c r="B68" s="7" t="s">
        <v>220</v>
      </c>
      <c r="C68" s="7">
        <v>0</v>
      </c>
      <c r="D68" s="9" t="s">
        <v>44</v>
      </c>
      <c r="E68" s="9" t="s">
        <v>179</v>
      </c>
      <c r="F68" s="9" t="s">
        <v>45</v>
      </c>
      <c r="G68" s="9" t="s">
        <v>183</v>
      </c>
      <c r="H68" s="9" t="s">
        <v>116</v>
      </c>
      <c r="I68" s="8" t="str">
        <f t="shared" si="0"/>
        <v>group_067</v>
      </c>
      <c r="J68" s="7">
        <v>0</v>
      </c>
    </row>
    <row r="69" spans="1:10" x14ac:dyDescent="0.15">
      <c r="A69" s="7" t="s">
        <v>232</v>
      </c>
      <c r="B69" s="7" t="s">
        <v>220</v>
      </c>
      <c r="C69" s="7">
        <v>0</v>
      </c>
      <c r="D69" s="9" t="s">
        <v>179</v>
      </c>
      <c r="E69" s="9" t="s">
        <v>121</v>
      </c>
      <c r="F69" s="9" t="s">
        <v>46</v>
      </c>
      <c r="G69" s="9" t="s">
        <v>61</v>
      </c>
      <c r="H69" s="9" t="s">
        <v>227</v>
      </c>
      <c r="I69" s="8" t="str">
        <f t="shared" si="0"/>
        <v>group_068</v>
      </c>
      <c r="J69" s="7">
        <v>0</v>
      </c>
    </row>
    <row r="70" spans="1:10" x14ac:dyDescent="0.15">
      <c r="A70" s="7" t="s">
        <v>233</v>
      </c>
      <c r="B70" s="7" t="s">
        <v>220</v>
      </c>
      <c r="C70" s="7">
        <v>0</v>
      </c>
      <c r="D70" s="9" t="s">
        <v>121</v>
      </c>
      <c r="E70" s="9" t="s">
        <v>181</v>
      </c>
      <c r="F70" s="9" t="s">
        <v>178</v>
      </c>
      <c r="G70" s="9" t="s">
        <v>182</v>
      </c>
      <c r="H70" s="9" t="s">
        <v>229</v>
      </c>
      <c r="I70" s="8" t="str">
        <f t="shared" ref="I70:I102" si="1">"group_"&amp;TEXT(ROW()-1,"000")</f>
        <v>group_069</v>
      </c>
      <c r="J70" s="7">
        <v>0</v>
      </c>
    </row>
    <row r="71" spans="1:10" x14ac:dyDescent="0.15">
      <c r="A71" s="7" t="s">
        <v>147</v>
      </c>
      <c r="B71" s="7" t="s">
        <v>220</v>
      </c>
      <c r="C71" s="7">
        <v>0</v>
      </c>
      <c r="D71" s="9" t="s">
        <v>181</v>
      </c>
      <c r="E71" s="9" t="s">
        <v>69</v>
      </c>
      <c r="I71" s="8" t="str">
        <f t="shared" si="1"/>
        <v>group_070</v>
      </c>
      <c r="J71" s="7">
        <v>0</v>
      </c>
    </row>
    <row r="72" spans="1:10" x14ac:dyDescent="0.15">
      <c r="A72" s="7" t="s">
        <v>234</v>
      </c>
      <c r="B72" s="7" t="s">
        <v>220</v>
      </c>
      <c r="C72" s="7">
        <v>0</v>
      </c>
      <c r="D72" s="9" t="s">
        <v>69</v>
      </c>
      <c r="E72" s="9" t="s">
        <v>183</v>
      </c>
      <c r="F72" s="9" t="s">
        <v>70</v>
      </c>
      <c r="G72" s="9" t="s">
        <v>72</v>
      </c>
      <c r="H72" s="9" t="s">
        <v>113</v>
      </c>
      <c r="I72" s="8" t="str">
        <f t="shared" si="1"/>
        <v>group_071</v>
      </c>
      <c r="J72" s="7">
        <v>0</v>
      </c>
    </row>
    <row r="73" spans="1:10" x14ac:dyDescent="0.15">
      <c r="A73" s="7" t="s">
        <v>235</v>
      </c>
      <c r="B73" s="7" t="s">
        <v>220</v>
      </c>
      <c r="C73" s="7">
        <v>0</v>
      </c>
      <c r="D73" s="9" t="s">
        <v>183</v>
      </c>
      <c r="E73" s="9" t="s">
        <v>186</v>
      </c>
      <c r="F73" s="9" t="s">
        <v>61</v>
      </c>
      <c r="G73" s="9" t="s">
        <v>190</v>
      </c>
      <c r="H73" s="9" t="s">
        <v>116</v>
      </c>
      <c r="I73" s="8" t="str">
        <f t="shared" si="1"/>
        <v>group_072</v>
      </c>
      <c r="J73" s="7">
        <v>0</v>
      </c>
    </row>
    <row r="74" spans="1:10" x14ac:dyDescent="0.15">
      <c r="A74" s="7" t="s">
        <v>236</v>
      </c>
      <c r="B74" s="7" t="s">
        <v>220</v>
      </c>
      <c r="C74" s="7">
        <v>0</v>
      </c>
      <c r="D74" s="9" t="s">
        <v>186</v>
      </c>
      <c r="E74" s="9" t="s">
        <v>124</v>
      </c>
      <c r="F74" s="9" t="s">
        <v>62</v>
      </c>
      <c r="G74" s="9" t="s">
        <v>187</v>
      </c>
      <c r="H74" s="9" t="s">
        <v>227</v>
      </c>
      <c r="I74" s="8" t="str">
        <f t="shared" si="1"/>
        <v>group_073</v>
      </c>
      <c r="J74" s="7">
        <v>0</v>
      </c>
    </row>
    <row r="75" spans="1:10" x14ac:dyDescent="0.15">
      <c r="A75" s="7" t="s">
        <v>237</v>
      </c>
      <c r="B75" s="7" t="s">
        <v>220</v>
      </c>
      <c r="C75" s="7">
        <v>0</v>
      </c>
      <c r="D75" s="9" t="s">
        <v>124</v>
      </c>
      <c r="E75" s="9" t="s">
        <v>188</v>
      </c>
      <c r="F75" s="9" t="s">
        <v>185</v>
      </c>
      <c r="G75" s="9" t="s">
        <v>189</v>
      </c>
      <c r="H75" s="9" t="s">
        <v>229</v>
      </c>
      <c r="I75" s="8" t="str">
        <f t="shared" si="1"/>
        <v>group_074</v>
      </c>
      <c r="J75" s="7">
        <v>0</v>
      </c>
    </row>
    <row r="76" spans="1:10" x14ac:dyDescent="0.15">
      <c r="A76" s="7" t="s">
        <v>147</v>
      </c>
      <c r="B76" s="7" t="s">
        <v>220</v>
      </c>
      <c r="C76" s="7">
        <v>0</v>
      </c>
      <c r="D76" s="9" t="s">
        <v>188</v>
      </c>
      <c r="E76" s="9" t="s">
        <v>72</v>
      </c>
      <c r="I76" s="8" t="str">
        <f t="shared" si="1"/>
        <v>group_075</v>
      </c>
      <c r="J76" s="7">
        <v>0</v>
      </c>
    </row>
    <row r="77" spans="1:10" x14ac:dyDescent="0.15">
      <c r="A77" s="7" t="s">
        <v>238</v>
      </c>
      <c r="B77" s="7" t="s">
        <v>220</v>
      </c>
      <c r="C77" s="7">
        <v>0</v>
      </c>
      <c r="D77" s="9" t="s">
        <v>72</v>
      </c>
      <c r="E77" s="9" t="s">
        <v>190</v>
      </c>
      <c r="F77" s="9" t="s">
        <v>73</v>
      </c>
      <c r="G77" s="9" t="s">
        <v>79</v>
      </c>
      <c r="H77" s="9" t="s">
        <v>113</v>
      </c>
      <c r="I77" s="8" t="str">
        <f t="shared" si="1"/>
        <v>group_076</v>
      </c>
      <c r="J77" s="7">
        <v>0</v>
      </c>
    </row>
    <row r="78" spans="1:10" x14ac:dyDescent="0.15">
      <c r="A78" s="7" t="s">
        <v>239</v>
      </c>
      <c r="B78" s="7" t="s">
        <v>220</v>
      </c>
      <c r="C78" s="7">
        <v>0</v>
      </c>
      <c r="D78" s="9" t="s">
        <v>190</v>
      </c>
      <c r="E78" s="9" t="s">
        <v>193</v>
      </c>
      <c r="F78" s="9" t="s">
        <v>187</v>
      </c>
      <c r="G78" s="9" t="s">
        <v>197</v>
      </c>
      <c r="H78" s="9" t="s">
        <v>116</v>
      </c>
      <c r="I78" s="8" t="str">
        <f t="shared" si="1"/>
        <v>group_077</v>
      </c>
      <c r="J78" s="7">
        <v>0</v>
      </c>
    </row>
    <row r="79" spans="1:10" x14ac:dyDescent="0.15">
      <c r="A79" s="7" t="s">
        <v>240</v>
      </c>
      <c r="B79" s="7" t="s">
        <v>220</v>
      </c>
      <c r="C79" s="7">
        <v>0</v>
      </c>
      <c r="D79" s="9" t="s">
        <v>193</v>
      </c>
      <c r="E79" s="9" t="s">
        <v>126</v>
      </c>
      <c r="F79" s="9" t="s">
        <v>47</v>
      </c>
      <c r="G79" s="9" t="s">
        <v>195</v>
      </c>
      <c r="H79" s="9" t="s">
        <v>227</v>
      </c>
      <c r="I79" s="8" t="str">
        <f t="shared" si="1"/>
        <v>group_078</v>
      </c>
      <c r="J79" s="7">
        <v>0</v>
      </c>
    </row>
    <row r="80" spans="1:10" x14ac:dyDescent="0.15">
      <c r="A80" s="7" t="s">
        <v>241</v>
      </c>
      <c r="B80" s="7" t="s">
        <v>220</v>
      </c>
      <c r="C80" s="7">
        <v>0</v>
      </c>
      <c r="D80" s="9" t="s">
        <v>126</v>
      </c>
      <c r="E80" s="9" t="s">
        <v>196</v>
      </c>
      <c r="F80" s="9" t="s">
        <v>192</v>
      </c>
      <c r="G80" s="9" t="s">
        <v>51</v>
      </c>
      <c r="H80" s="9" t="s">
        <v>229</v>
      </c>
      <c r="I80" s="8" t="str">
        <f t="shared" si="1"/>
        <v>group_079</v>
      </c>
      <c r="J80" s="7">
        <v>0</v>
      </c>
    </row>
    <row r="81" spans="1:10" x14ac:dyDescent="0.15">
      <c r="A81" s="7" t="s">
        <v>147</v>
      </c>
      <c r="B81" s="7" t="s">
        <v>220</v>
      </c>
      <c r="C81" s="7">
        <v>0</v>
      </c>
      <c r="D81" s="9" t="s">
        <v>196</v>
      </c>
      <c r="E81" s="9" t="s">
        <v>79</v>
      </c>
      <c r="I81" s="8" t="str">
        <f t="shared" si="1"/>
        <v>group_080</v>
      </c>
      <c r="J81" s="7">
        <v>0</v>
      </c>
    </row>
    <row r="82" spans="1:10" x14ac:dyDescent="0.15">
      <c r="A82" s="7" t="s">
        <v>242</v>
      </c>
      <c r="B82" s="7" t="s">
        <v>220</v>
      </c>
      <c r="C82" s="7">
        <v>0</v>
      </c>
      <c r="D82" s="9" t="s">
        <v>79</v>
      </c>
      <c r="E82" s="9" t="s">
        <v>197</v>
      </c>
      <c r="F82" s="9" t="s">
        <v>194</v>
      </c>
      <c r="G82" s="9" t="s">
        <v>202</v>
      </c>
      <c r="H82" s="9" t="s">
        <v>113</v>
      </c>
      <c r="I82" s="8" t="str">
        <f t="shared" si="1"/>
        <v>group_081</v>
      </c>
      <c r="J82" s="7">
        <v>0</v>
      </c>
    </row>
    <row r="83" spans="1:10" x14ac:dyDescent="0.15">
      <c r="A83" s="7" t="s">
        <v>243</v>
      </c>
      <c r="B83" s="7" t="s">
        <v>220</v>
      </c>
      <c r="C83" s="7">
        <v>0</v>
      </c>
      <c r="D83" s="9" t="s">
        <v>197</v>
      </c>
      <c r="E83" s="9" t="s">
        <v>64</v>
      </c>
      <c r="F83" s="9" t="s">
        <v>195</v>
      </c>
      <c r="G83" s="9" t="s">
        <v>129</v>
      </c>
      <c r="H83" s="9" t="s">
        <v>116</v>
      </c>
      <c r="I83" s="8" t="str">
        <f t="shared" si="1"/>
        <v>group_082</v>
      </c>
      <c r="J83" s="7">
        <v>0</v>
      </c>
    </row>
    <row r="84" spans="1:10" x14ac:dyDescent="0.15">
      <c r="A84" s="7" t="s">
        <v>244</v>
      </c>
      <c r="B84" s="7" t="s">
        <v>220</v>
      </c>
      <c r="C84" s="7">
        <v>0</v>
      </c>
      <c r="D84" s="9" t="s">
        <v>64</v>
      </c>
      <c r="E84" s="9" t="s">
        <v>50</v>
      </c>
      <c r="F84" s="9" t="s">
        <v>200</v>
      </c>
      <c r="G84" s="9" t="s">
        <v>201</v>
      </c>
      <c r="H84" s="9" t="s">
        <v>227</v>
      </c>
      <c r="I84" s="8" t="str">
        <f t="shared" si="1"/>
        <v>group_083</v>
      </c>
      <c r="J84" s="7">
        <v>0</v>
      </c>
    </row>
    <row r="85" spans="1:10" x14ac:dyDescent="0.15">
      <c r="A85" s="7" t="s">
        <v>245</v>
      </c>
      <c r="B85" s="7" t="s">
        <v>220</v>
      </c>
      <c r="C85" s="7">
        <v>0</v>
      </c>
      <c r="D85" s="9" t="s">
        <v>50</v>
      </c>
      <c r="E85" s="9" t="s">
        <v>128</v>
      </c>
      <c r="F85" s="9" t="s">
        <v>52</v>
      </c>
      <c r="G85" s="9" t="s">
        <v>55</v>
      </c>
      <c r="H85" s="9" t="s">
        <v>229</v>
      </c>
      <c r="I85" s="8" t="str">
        <f t="shared" si="1"/>
        <v>group_084</v>
      </c>
      <c r="J85" s="7">
        <v>0</v>
      </c>
    </row>
    <row r="86" spans="1:10" x14ac:dyDescent="0.15">
      <c r="A86" s="7" t="s">
        <v>147</v>
      </c>
      <c r="B86" s="7" t="s">
        <v>220</v>
      </c>
      <c r="C86" s="7">
        <v>0</v>
      </c>
      <c r="D86" s="9" t="s">
        <v>128</v>
      </c>
      <c r="E86" s="9" t="s">
        <v>202</v>
      </c>
      <c r="I86" s="8" t="str">
        <f t="shared" si="1"/>
        <v>group_085</v>
      </c>
      <c r="J86" s="7">
        <v>0</v>
      </c>
    </row>
    <row r="87" spans="1:10" x14ac:dyDescent="0.15">
      <c r="A87" s="7" t="s">
        <v>246</v>
      </c>
      <c r="B87" s="7" t="s">
        <v>220</v>
      </c>
      <c r="C87" s="7">
        <v>0</v>
      </c>
      <c r="D87" s="9" t="s">
        <v>202</v>
      </c>
      <c r="E87" s="9" t="s">
        <v>129</v>
      </c>
      <c r="F87" s="9" t="s">
        <v>199</v>
      </c>
      <c r="G87" s="9" t="s">
        <v>130</v>
      </c>
      <c r="H87" s="9" t="s">
        <v>113</v>
      </c>
      <c r="I87" s="8" t="str">
        <f t="shared" si="1"/>
        <v>group_086</v>
      </c>
      <c r="J87" s="7">
        <v>0</v>
      </c>
    </row>
    <row r="88" spans="1:10" x14ac:dyDescent="0.15">
      <c r="A88" s="7" t="s">
        <v>247</v>
      </c>
      <c r="B88" s="7" t="s">
        <v>220</v>
      </c>
      <c r="C88" s="7">
        <v>0</v>
      </c>
      <c r="D88" s="9" t="s">
        <v>129</v>
      </c>
      <c r="E88" s="9" t="s">
        <v>76</v>
      </c>
      <c r="F88" s="9" t="s">
        <v>201</v>
      </c>
      <c r="G88" s="9" t="s">
        <v>210</v>
      </c>
      <c r="H88" s="9" t="s">
        <v>116</v>
      </c>
      <c r="I88" s="8" t="str">
        <f t="shared" si="1"/>
        <v>group_087</v>
      </c>
      <c r="J88" s="7">
        <v>0</v>
      </c>
    </row>
    <row r="89" spans="1:10" x14ac:dyDescent="0.15">
      <c r="A89" s="7" t="s">
        <v>248</v>
      </c>
      <c r="B89" s="7" t="s">
        <v>220</v>
      </c>
      <c r="C89" s="7">
        <v>0</v>
      </c>
      <c r="D89" s="9" t="s">
        <v>76</v>
      </c>
      <c r="E89" s="9" t="s">
        <v>205</v>
      </c>
      <c r="F89" s="9" t="s">
        <v>206</v>
      </c>
      <c r="G89" s="9" t="s">
        <v>207</v>
      </c>
      <c r="H89" s="9" t="s">
        <v>227</v>
      </c>
      <c r="I89" s="8" t="str">
        <f t="shared" si="1"/>
        <v>group_088</v>
      </c>
      <c r="J89" s="7">
        <v>0</v>
      </c>
    </row>
    <row r="90" spans="1:10" x14ac:dyDescent="0.15">
      <c r="A90" s="7" t="s">
        <v>249</v>
      </c>
      <c r="B90" s="7" t="s">
        <v>220</v>
      </c>
      <c r="C90" s="7">
        <v>0</v>
      </c>
      <c r="D90" s="9" t="s">
        <v>205</v>
      </c>
      <c r="E90" s="9" t="s">
        <v>208</v>
      </c>
      <c r="F90" s="9" t="s">
        <v>56</v>
      </c>
      <c r="G90" s="9" t="s">
        <v>209</v>
      </c>
      <c r="H90" s="9" t="s">
        <v>229</v>
      </c>
      <c r="I90" s="8" t="str">
        <f t="shared" si="1"/>
        <v>group_089</v>
      </c>
      <c r="J90" s="7">
        <v>0</v>
      </c>
    </row>
    <row r="91" spans="1:10" x14ac:dyDescent="0.15">
      <c r="A91" s="7" t="s">
        <v>147</v>
      </c>
      <c r="B91" s="7" t="s">
        <v>220</v>
      </c>
      <c r="C91" s="7">
        <v>0</v>
      </c>
      <c r="D91" s="9" t="s">
        <v>208</v>
      </c>
      <c r="E91" s="9" t="s">
        <v>130</v>
      </c>
      <c r="I91" s="8" t="str">
        <f t="shared" si="1"/>
        <v>group_090</v>
      </c>
      <c r="J91" s="7">
        <v>0</v>
      </c>
    </row>
    <row r="92" spans="1:10" x14ac:dyDescent="0.15">
      <c r="A92" s="7" t="s">
        <v>250</v>
      </c>
      <c r="B92" s="7" t="s">
        <v>220</v>
      </c>
      <c r="C92" s="7">
        <v>0</v>
      </c>
      <c r="D92" s="9" t="s">
        <v>130</v>
      </c>
      <c r="E92" s="9" t="s">
        <v>210</v>
      </c>
      <c r="F92" s="9" t="s">
        <v>204</v>
      </c>
      <c r="G92" s="9" t="s">
        <v>251</v>
      </c>
      <c r="H92" s="9" t="s">
        <v>113</v>
      </c>
      <c r="I92" s="8" t="str">
        <f t="shared" si="1"/>
        <v>group_091</v>
      </c>
      <c r="J92" s="7">
        <v>0</v>
      </c>
    </row>
    <row r="93" spans="1:10" x14ac:dyDescent="0.15">
      <c r="A93" s="7" t="s">
        <v>252</v>
      </c>
      <c r="B93" s="7" t="s">
        <v>220</v>
      </c>
      <c r="C93" s="7">
        <v>0</v>
      </c>
      <c r="D93" s="9" t="s">
        <v>210</v>
      </c>
      <c r="E93" s="9" t="s">
        <v>77</v>
      </c>
      <c r="F93" s="9" t="s">
        <v>207</v>
      </c>
      <c r="G93" s="9" t="s">
        <v>253</v>
      </c>
      <c r="H93" s="9" t="s">
        <v>116</v>
      </c>
      <c r="I93" s="8" t="str">
        <f t="shared" si="1"/>
        <v>group_092</v>
      </c>
      <c r="J93" s="7">
        <v>0</v>
      </c>
    </row>
    <row r="94" spans="1:10" x14ac:dyDescent="0.15">
      <c r="A94" s="7" t="s">
        <v>254</v>
      </c>
      <c r="B94" s="7" t="s">
        <v>220</v>
      </c>
      <c r="C94" s="7">
        <v>0</v>
      </c>
      <c r="D94" s="9" t="s">
        <v>77</v>
      </c>
      <c r="E94" s="9" t="s">
        <v>65</v>
      </c>
      <c r="F94" s="9" t="s">
        <v>81</v>
      </c>
      <c r="G94" s="9" t="s">
        <v>131</v>
      </c>
      <c r="H94" s="9" t="s">
        <v>227</v>
      </c>
      <c r="I94" s="8" t="str">
        <f t="shared" si="1"/>
        <v>group_093</v>
      </c>
      <c r="J94" s="7">
        <v>0</v>
      </c>
    </row>
  </sheetData>
  <phoneticPr fontId="1"/>
  <pageMargins left="0.196850393700787" right="0.70866141732283505" top="0.15748031496063" bottom="0.15748031496063" header="0.31496062992126" footer="0.31496062992126"/>
  <pageSetup paperSize="9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4"/>
  <sheetViews>
    <sheetView topLeftCell="A10" workbookViewId="0">
      <selection activeCell="E44" sqref="E44"/>
    </sheetView>
  </sheetViews>
  <sheetFormatPr defaultRowHeight="13.5" x14ac:dyDescent="0.15"/>
  <cols>
    <col min="1" max="1" width="29.625" bestFit="1" customWidth="1"/>
    <col min="2" max="2" width="7.625" bestFit="1" customWidth="1"/>
    <col min="3" max="3" width="6.75" style="4" bestFit="1" customWidth="1"/>
    <col min="4" max="4" width="9.125" style="9" bestFit="1" customWidth="1"/>
    <col min="5" max="5" width="8.375" style="9" bestFit="1" customWidth="1"/>
    <col min="6" max="7" width="9" style="9"/>
    <col min="8" max="8" width="14" style="9" bestFit="1" customWidth="1"/>
    <col min="9" max="9" width="9" style="8"/>
    <col min="11" max="11" width="9" style="9"/>
  </cols>
  <sheetData>
    <row r="1" spans="1:11" x14ac:dyDescent="0.15">
      <c r="A1" t="s">
        <v>24</v>
      </c>
      <c r="B1" t="s">
        <v>25</v>
      </c>
      <c r="C1" s="4" t="s">
        <v>144</v>
      </c>
      <c r="D1" s="9" t="s">
        <v>26</v>
      </c>
      <c r="E1" s="9" t="s">
        <v>27</v>
      </c>
      <c r="F1" s="9" t="s">
        <v>107</v>
      </c>
      <c r="G1" s="9" t="s">
        <v>108</v>
      </c>
      <c r="H1" s="9" t="s">
        <v>109</v>
      </c>
      <c r="I1" s="8" t="s">
        <v>102</v>
      </c>
      <c r="J1" s="9" t="s">
        <v>261</v>
      </c>
      <c r="K1" s="9" t="s">
        <v>273</v>
      </c>
    </row>
    <row r="2" spans="1:11" x14ac:dyDescent="0.15">
      <c r="A2" t="s">
        <v>133</v>
      </c>
      <c r="B2" s="2" t="s">
        <v>103</v>
      </c>
      <c r="C2" s="4">
        <v>0</v>
      </c>
      <c r="D2" s="9" t="s">
        <v>110</v>
      </c>
      <c r="E2" s="9" t="s">
        <v>111</v>
      </c>
      <c r="F2" s="9" t="s">
        <v>112</v>
      </c>
      <c r="G2" s="9" t="s">
        <v>58</v>
      </c>
      <c r="H2" s="9" t="s">
        <v>113</v>
      </c>
      <c r="I2" s="8" t="str">
        <f>"group_"&amp;TEXT(ROW()-1,"000")</f>
        <v>group_001</v>
      </c>
      <c r="J2">
        <v>0</v>
      </c>
      <c r="K2" s="9" t="s">
        <v>274</v>
      </c>
    </row>
    <row r="3" spans="1:11" x14ac:dyDescent="0.15">
      <c r="A3" t="s">
        <v>134</v>
      </c>
      <c r="B3" s="4" t="s">
        <v>103</v>
      </c>
      <c r="C3" s="4">
        <v>0</v>
      </c>
      <c r="D3" s="9" t="s">
        <v>111</v>
      </c>
      <c r="E3" s="9" t="s">
        <v>114</v>
      </c>
      <c r="F3" s="9" t="s">
        <v>66</v>
      </c>
      <c r="G3" s="9" t="s">
        <v>115</v>
      </c>
      <c r="H3" s="9" t="s">
        <v>116</v>
      </c>
      <c r="I3" s="8" t="str">
        <f>"group_"&amp;TEXT(ROW()-1,"000")</f>
        <v>group_002</v>
      </c>
      <c r="J3" s="7">
        <v>0</v>
      </c>
      <c r="K3" s="9" t="s">
        <v>275</v>
      </c>
    </row>
    <row r="4" spans="1:11" x14ac:dyDescent="0.15">
      <c r="A4" t="s">
        <v>135</v>
      </c>
      <c r="B4" s="4" t="s">
        <v>103</v>
      </c>
      <c r="C4" s="4">
        <v>0</v>
      </c>
      <c r="D4" s="9" t="s">
        <v>114</v>
      </c>
      <c r="E4" s="9" t="s">
        <v>66</v>
      </c>
      <c r="I4" s="8" t="str">
        <f>"group_"&amp;TEXT(ROW()-1,"000")</f>
        <v>group_003</v>
      </c>
      <c r="J4" s="7">
        <v>0</v>
      </c>
    </row>
    <row r="5" spans="1:11" x14ac:dyDescent="0.15">
      <c r="A5" t="s">
        <v>40</v>
      </c>
      <c r="B5" s="4" t="s">
        <v>103</v>
      </c>
      <c r="C5" s="4">
        <v>0</v>
      </c>
      <c r="D5" s="9" t="s">
        <v>66</v>
      </c>
      <c r="E5" s="9" t="s">
        <v>67</v>
      </c>
      <c r="F5" s="9" t="s">
        <v>78</v>
      </c>
      <c r="G5" s="9" t="s">
        <v>44</v>
      </c>
      <c r="H5" s="9" t="s">
        <v>117</v>
      </c>
      <c r="I5" s="8" t="str">
        <f>"group_"&amp;TEXT(ROW()-1,"000")</f>
        <v>group_004</v>
      </c>
      <c r="J5" s="7">
        <v>0</v>
      </c>
      <c r="K5" s="9" t="s">
        <v>276</v>
      </c>
    </row>
    <row r="6" spans="1:11" x14ac:dyDescent="0.15">
      <c r="A6" t="s">
        <v>35</v>
      </c>
      <c r="B6" s="4" t="s">
        <v>103</v>
      </c>
      <c r="C6" s="4">
        <v>0</v>
      </c>
      <c r="D6" s="9" t="s">
        <v>67</v>
      </c>
      <c r="E6" s="9" t="s">
        <v>68</v>
      </c>
      <c r="F6" s="9" t="s">
        <v>115</v>
      </c>
      <c r="G6" s="9" t="s">
        <v>45</v>
      </c>
      <c r="H6" s="9" t="s">
        <v>113</v>
      </c>
      <c r="I6" s="8" t="str">
        <f t="shared" ref="I6:I79" si="0">"group_"&amp;TEXT(ROW()-1,"000")</f>
        <v>group_005</v>
      </c>
      <c r="J6" s="7">
        <v>0</v>
      </c>
      <c r="K6" s="9" t="s">
        <v>274</v>
      </c>
    </row>
    <row r="7" spans="1:11" x14ac:dyDescent="0.15">
      <c r="A7" t="s">
        <v>34</v>
      </c>
      <c r="B7" s="4" t="s">
        <v>103</v>
      </c>
      <c r="C7" s="4">
        <v>0</v>
      </c>
      <c r="D7" s="9" t="s">
        <v>68</v>
      </c>
      <c r="E7" s="9" t="s">
        <v>59</v>
      </c>
      <c r="F7" s="9" t="s">
        <v>118</v>
      </c>
      <c r="G7" s="9" t="s">
        <v>46</v>
      </c>
      <c r="H7" s="9" t="s">
        <v>116</v>
      </c>
      <c r="I7" s="8" t="str">
        <f t="shared" si="0"/>
        <v>group_006</v>
      </c>
      <c r="J7" s="7">
        <v>0</v>
      </c>
      <c r="K7" s="9" t="s">
        <v>275</v>
      </c>
    </row>
    <row r="8" spans="1:11" x14ac:dyDescent="0.15">
      <c r="A8" t="s">
        <v>41</v>
      </c>
      <c r="B8" s="4" t="s">
        <v>103</v>
      </c>
      <c r="C8" s="4">
        <v>0</v>
      </c>
      <c r="D8" s="9" t="s">
        <v>59</v>
      </c>
      <c r="E8" s="9" t="s">
        <v>60</v>
      </c>
      <c r="F8" s="9" t="s">
        <v>119</v>
      </c>
      <c r="G8" s="9" t="s">
        <v>120</v>
      </c>
      <c r="H8" s="9" t="s">
        <v>117</v>
      </c>
      <c r="I8" s="8" t="str">
        <f t="shared" si="0"/>
        <v>group_007</v>
      </c>
      <c r="J8" s="7">
        <v>0</v>
      </c>
      <c r="K8" s="9" t="s">
        <v>276</v>
      </c>
    </row>
    <row r="9" spans="1:11" x14ac:dyDescent="0.15">
      <c r="A9" t="s">
        <v>135</v>
      </c>
      <c r="B9" s="4" t="s">
        <v>103</v>
      </c>
      <c r="C9" s="4">
        <v>0</v>
      </c>
      <c r="D9" s="9" t="s">
        <v>60</v>
      </c>
      <c r="E9" s="9" t="s">
        <v>119</v>
      </c>
      <c r="I9" s="8" t="str">
        <f t="shared" si="0"/>
        <v>group_008</v>
      </c>
      <c r="J9" s="7">
        <v>0</v>
      </c>
    </row>
    <row r="10" spans="1:11" x14ac:dyDescent="0.15">
      <c r="A10" t="s">
        <v>136</v>
      </c>
      <c r="B10" s="4" t="s">
        <v>103</v>
      </c>
      <c r="C10" s="4">
        <v>0</v>
      </c>
      <c r="D10" s="9" t="s">
        <v>119</v>
      </c>
      <c r="E10" s="9" t="s">
        <v>121</v>
      </c>
      <c r="F10" s="9" t="s">
        <v>46</v>
      </c>
      <c r="G10" s="9" t="s">
        <v>61</v>
      </c>
      <c r="H10" s="9" t="s">
        <v>113</v>
      </c>
      <c r="I10" s="8" t="str">
        <f t="shared" si="0"/>
        <v>group_009</v>
      </c>
      <c r="J10" s="7">
        <v>0</v>
      </c>
      <c r="K10" s="9" t="s">
        <v>274</v>
      </c>
    </row>
    <row r="11" spans="1:11" x14ac:dyDescent="0.15">
      <c r="A11" t="s">
        <v>137</v>
      </c>
      <c r="B11" s="4" t="s">
        <v>103</v>
      </c>
      <c r="C11" s="4">
        <v>0</v>
      </c>
      <c r="D11" s="9" t="s">
        <v>121</v>
      </c>
      <c r="E11" s="9" t="s">
        <v>69</v>
      </c>
      <c r="F11" s="9" t="s">
        <v>120</v>
      </c>
      <c r="G11" s="9" t="s">
        <v>62</v>
      </c>
      <c r="H11" s="9" t="s">
        <v>116</v>
      </c>
      <c r="I11" s="8" t="str">
        <f t="shared" si="0"/>
        <v>group_010</v>
      </c>
      <c r="J11" s="7">
        <v>0</v>
      </c>
      <c r="K11" s="9" t="s">
        <v>275</v>
      </c>
    </row>
    <row r="12" spans="1:11" x14ac:dyDescent="0.15">
      <c r="A12" t="s">
        <v>42</v>
      </c>
      <c r="B12" s="4" t="s">
        <v>103</v>
      </c>
      <c r="C12" s="4">
        <v>0</v>
      </c>
      <c r="D12" s="9" t="s">
        <v>69</v>
      </c>
      <c r="E12" s="9" t="s">
        <v>70</v>
      </c>
      <c r="F12" s="9" t="s">
        <v>122</v>
      </c>
      <c r="G12" s="9" t="s">
        <v>123</v>
      </c>
      <c r="H12" s="9" t="s">
        <v>117</v>
      </c>
      <c r="I12" s="8" t="str">
        <f t="shared" si="0"/>
        <v>group_011</v>
      </c>
      <c r="J12" s="7">
        <v>0</v>
      </c>
      <c r="K12" s="9" t="s">
        <v>276</v>
      </c>
    </row>
    <row r="13" spans="1:11" x14ac:dyDescent="0.15">
      <c r="A13" t="s">
        <v>138</v>
      </c>
      <c r="B13" s="4" t="s">
        <v>103</v>
      </c>
      <c r="C13" s="4">
        <v>0</v>
      </c>
      <c r="D13" s="9" t="s">
        <v>70</v>
      </c>
      <c r="E13" s="9" t="s">
        <v>71</v>
      </c>
      <c r="F13" s="9" t="s">
        <v>124</v>
      </c>
      <c r="G13" s="9" t="s">
        <v>125</v>
      </c>
      <c r="H13" s="9" t="s">
        <v>113</v>
      </c>
      <c r="I13" s="8" t="str">
        <f t="shared" si="0"/>
        <v>group_012</v>
      </c>
      <c r="J13" s="7">
        <v>0</v>
      </c>
      <c r="K13" s="9" t="s">
        <v>274</v>
      </c>
    </row>
    <row r="14" spans="1:11" x14ac:dyDescent="0.15">
      <c r="A14" t="s">
        <v>135</v>
      </c>
      <c r="B14" s="4" t="s">
        <v>103</v>
      </c>
      <c r="C14" s="4">
        <v>0</v>
      </c>
      <c r="D14" s="9" t="s">
        <v>71</v>
      </c>
      <c r="E14" s="9" t="s">
        <v>124</v>
      </c>
      <c r="I14" s="8" t="str">
        <f t="shared" si="0"/>
        <v>group_013</v>
      </c>
      <c r="J14" s="7">
        <v>0</v>
      </c>
    </row>
    <row r="15" spans="1:11" x14ac:dyDescent="0.15">
      <c r="A15" t="s">
        <v>3</v>
      </c>
      <c r="B15" s="4" t="s">
        <v>103</v>
      </c>
      <c r="C15" s="4">
        <v>1</v>
      </c>
      <c r="D15" s="9" t="s">
        <v>124</v>
      </c>
      <c r="E15" s="9" t="s">
        <v>72</v>
      </c>
      <c r="F15" s="9" t="s">
        <v>123</v>
      </c>
      <c r="G15" s="9" t="s">
        <v>47</v>
      </c>
      <c r="H15" s="9" t="s">
        <v>116</v>
      </c>
      <c r="I15" s="8" t="str">
        <f t="shared" si="0"/>
        <v>group_014</v>
      </c>
      <c r="J15" s="7">
        <v>1</v>
      </c>
      <c r="K15" s="9" t="s">
        <v>275</v>
      </c>
    </row>
    <row r="16" spans="1:11" x14ac:dyDescent="0.15">
      <c r="A16" t="s">
        <v>38</v>
      </c>
      <c r="B16" s="4" t="s">
        <v>103</v>
      </c>
      <c r="C16" s="4">
        <v>0</v>
      </c>
      <c r="D16" s="9" t="s">
        <v>72</v>
      </c>
      <c r="E16" s="9" t="s">
        <v>73</v>
      </c>
      <c r="F16" s="9" t="s">
        <v>125</v>
      </c>
      <c r="G16" s="9" t="s">
        <v>48</v>
      </c>
      <c r="H16" s="9" t="s">
        <v>117</v>
      </c>
      <c r="I16" s="8" t="str">
        <f t="shared" si="0"/>
        <v>group_015</v>
      </c>
      <c r="J16" s="7">
        <v>0</v>
      </c>
      <c r="K16" s="9" t="s">
        <v>276</v>
      </c>
    </row>
    <row r="17" spans="1:11" x14ac:dyDescent="0.15">
      <c r="A17" t="s">
        <v>139</v>
      </c>
      <c r="B17" s="4" t="s">
        <v>103</v>
      </c>
      <c r="C17" s="4">
        <v>0</v>
      </c>
      <c r="D17" s="9" t="s">
        <v>73</v>
      </c>
      <c r="E17" s="9" t="s">
        <v>74</v>
      </c>
      <c r="F17" s="9" t="s">
        <v>126</v>
      </c>
      <c r="G17" s="9" t="s">
        <v>49</v>
      </c>
      <c r="H17" s="9" t="s">
        <v>113</v>
      </c>
      <c r="I17" s="8" t="str">
        <f t="shared" si="0"/>
        <v>group_016</v>
      </c>
      <c r="J17" s="7">
        <v>0</v>
      </c>
      <c r="K17" s="9" t="s">
        <v>274</v>
      </c>
    </row>
    <row r="18" spans="1:11" x14ac:dyDescent="0.15">
      <c r="A18" t="s">
        <v>0</v>
      </c>
      <c r="B18" s="4" t="s">
        <v>103</v>
      </c>
      <c r="C18" s="4">
        <v>1</v>
      </c>
      <c r="D18" s="9" t="s">
        <v>74</v>
      </c>
      <c r="E18" s="9" t="s">
        <v>63</v>
      </c>
      <c r="F18" s="9" t="s">
        <v>79</v>
      </c>
      <c r="G18" s="9" t="s">
        <v>50</v>
      </c>
      <c r="H18" s="9" t="s">
        <v>116</v>
      </c>
      <c r="I18" s="8" t="str">
        <f t="shared" si="0"/>
        <v>group_017</v>
      </c>
      <c r="J18" s="7">
        <v>1</v>
      </c>
      <c r="K18" s="9" t="s">
        <v>275</v>
      </c>
    </row>
    <row r="19" spans="1:11" x14ac:dyDescent="0.15">
      <c r="A19" t="s">
        <v>135</v>
      </c>
      <c r="B19" s="4" t="s">
        <v>103</v>
      </c>
      <c r="C19" s="4">
        <v>0</v>
      </c>
      <c r="D19" s="9" t="s">
        <v>63</v>
      </c>
      <c r="E19" s="9" t="s">
        <v>79</v>
      </c>
      <c r="I19" s="8" t="str">
        <f t="shared" si="0"/>
        <v>group_018</v>
      </c>
      <c r="J19" s="7">
        <v>0</v>
      </c>
    </row>
    <row r="20" spans="1:11" x14ac:dyDescent="0.15">
      <c r="A20" t="s">
        <v>43</v>
      </c>
      <c r="B20" s="4" t="s">
        <v>103</v>
      </c>
      <c r="C20" s="4">
        <v>0</v>
      </c>
      <c r="D20" s="9" t="s">
        <v>79</v>
      </c>
      <c r="E20" s="9" t="s">
        <v>80</v>
      </c>
      <c r="F20" s="9" t="s">
        <v>64</v>
      </c>
      <c r="G20" s="9" t="s">
        <v>75</v>
      </c>
      <c r="H20" s="9" t="s">
        <v>117</v>
      </c>
      <c r="I20" s="8" t="str">
        <f t="shared" si="0"/>
        <v>group_019</v>
      </c>
      <c r="J20" s="7">
        <v>0</v>
      </c>
      <c r="K20" s="9" t="s">
        <v>276</v>
      </c>
    </row>
    <row r="21" spans="1:11" x14ac:dyDescent="0.15">
      <c r="A21" t="s">
        <v>1</v>
      </c>
      <c r="B21" s="4" t="s">
        <v>103</v>
      </c>
      <c r="C21" s="4">
        <v>1</v>
      </c>
      <c r="D21" s="9" t="s">
        <v>80</v>
      </c>
      <c r="E21" s="9" t="s">
        <v>127</v>
      </c>
      <c r="F21" s="9" t="s">
        <v>51</v>
      </c>
      <c r="G21" s="9" t="s">
        <v>76</v>
      </c>
      <c r="H21" s="9" t="s">
        <v>113</v>
      </c>
      <c r="I21" s="8" t="str">
        <f t="shared" si="0"/>
        <v>group_020</v>
      </c>
      <c r="J21" s="7">
        <v>1</v>
      </c>
      <c r="K21" s="9" t="s">
        <v>274</v>
      </c>
    </row>
    <row r="22" spans="1:11" x14ac:dyDescent="0.15">
      <c r="A22" t="s">
        <v>140</v>
      </c>
      <c r="B22" s="4" t="s">
        <v>103</v>
      </c>
      <c r="C22" s="4">
        <v>0</v>
      </c>
      <c r="D22" s="9" t="s">
        <v>127</v>
      </c>
      <c r="E22" s="9" t="s">
        <v>128</v>
      </c>
      <c r="F22" s="9" t="s">
        <v>52</v>
      </c>
      <c r="G22" s="9" t="s">
        <v>55</v>
      </c>
      <c r="H22" s="9" t="s">
        <v>116</v>
      </c>
      <c r="I22" s="8" t="str">
        <f t="shared" si="0"/>
        <v>group_021</v>
      </c>
      <c r="J22" s="7">
        <v>0</v>
      </c>
      <c r="K22" s="9" t="s">
        <v>275</v>
      </c>
    </row>
    <row r="23" spans="1:11" x14ac:dyDescent="0.15">
      <c r="A23" t="s">
        <v>141</v>
      </c>
      <c r="B23" s="4" t="s">
        <v>103</v>
      </c>
      <c r="C23" s="4">
        <v>0</v>
      </c>
      <c r="D23" s="9" t="s">
        <v>128</v>
      </c>
      <c r="E23" s="9" t="s">
        <v>129</v>
      </c>
      <c r="F23" s="9" t="s">
        <v>53</v>
      </c>
      <c r="G23" s="9" t="s">
        <v>56</v>
      </c>
      <c r="H23" s="9" t="s">
        <v>117</v>
      </c>
      <c r="I23" s="8" t="str">
        <f t="shared" si="0"/>
        <v>group_022</v>
      </c>
      <c r="J23" s="7">
        <v>0</v>
      </c>
      <c r="K23" s="9" t="s">
        <v>276</v>
      </c>
    </row>
    <row r="24" spans="1:11" x14ac:dyDescent="0.15">
      <c r="A24" t="s">
        <v>135</v>
      </c>
      <c r="B24" s="4" t="s">
        <v>103</v>
      </c>
      <c r="C24" s="4">
        <v>0</v>
      </c>
      <c r="D24" s="9" t="s">
        <v>129</v>
      </c>
      <c r="E24" s="9" t="s">
        <v>53</v>
      </c>
      <c r="I24" s="8" t="str">
        <f t="shared" si="0"/>
        <v>group_023</v>
      </c>
      <c r="J24" s="7">
        <v>0</v>
      </c>
    </row>
    <row r="25" spans="1:11" x14ac:dyDescent="0.15">
      <c r="A25" t="s">
        <v>39</v>
      </c>
      <c r="B25" s="4" t="s">
        <v>103</v>
      </c>
      <c r="C25" s="4">
        <v>1</v>
      </c>
      <c r="D25" s="9" t="s">
        <v>53</v>
      </c>
      <c r="E25" s="9" t="s">
        <v>54</v>
      </c>
      <c r="F25" s="9" t="s">
        <v>55</v>
      </c>
      <c r="G25" s="9" t="s">
        <v>77</v>
      </c>
      <c r="H25" s="9" t="s">
        <v>113</v>
      </c>
      <c r="I25" s="8" t="str">
        <f t="shared" si="0"/>
        <v>group_024</v>
      </c>
      <c r="J25" s="7">
        <v>1</v>
      </c>
      <c r="K25" s="9" t="s">
        <v>274</v>
      </c>
    </row>
    <row r="26" spans="1:11" x14ac:dyDescent="0.15">
      <c r="A26" t="s">
        <v>36</v>
      </c>
      <c r="B26" s="4" t="s">
        <v>103</v>
      </c>
      <c r="C26" s="4">
        <v>0</v>
      </c>
      <c r="D26" s="9" t="s">
        <v>54</v>
      </c>
      <c r="E26" s="9" t="s">
        <v>130</v>
      </c>
      <c r="F26" s="9" t="s">
        <v>81</v>
      </c>
      <c r="G26" s="9" t="s">
        <v>131</v>
      </c>
      <c r="H26" s="9" t="s">
        <v>116</v>
      </c>
      <c r="I26" s="8" t="str">
        <f t="shared" si="0"/>
        <v>group_025</v>
      </c>
      <c r="J26" s="7">
        <v>0</v>
      </c>
      <c r="K26" s="9" t="s">
        <v>275</v>
      </c>
    </row>
    <row r="27" spans="1:11" x14ac:dyDescent="0.15">
      <c r="A27" t="s">
        <v>37</v>
      </c>
      <c r="B27" s="4" t="s">
        <v>103</v>
      </c>
      <c r="C27" s="4">
        <v>0</v>
      </c>
      <c r="D27" s="9" t="s">
        <v>130</v>
      </c>
      <c r="E27" s="9" t="s">
        <v>57</v>
      </c>
      <c r="F27" s="9" t="s">
        <v>81</v>
      </c>
      <c r="G27" s="9" t="s">
        <v>131</v>
      </c>
      <c r="H27" s="9" t="s">
        <v>105</v>
      </c>
      <c r="I27" s="8" t="str">
        <f t="shared" si="0"/>
        <v>group_026</v>
      </c>
      <c r="J27" s="7">
        <v>0</v>
      </c>
      <c r="K27" s="7" t="s">
        <v>103</v>
      </c>
    </row>
    <row r="28" spans="1:11" x14ac:dyDescent="0.15">
      <c r="A28" t="s">
        <v>2</v>
      </c>
      <c r="B28" s="4" t="s">
        <v>103</v>
      </c>
      <c r="C28" s="4">
        <v>1</v>
      </c>
      <c r="D28" s="9" t="s">
        <v>57</v>
      </c>
      <c r="E28" s="9" t="s">
        <v>65</v>
      </c>
      <c r="F28" s="9" t="s">
        <v>81</v>
      </c>
      <c r="G28" s="9" t="s">
        <v>131</v>
      </c>
      <c r="H28" s="9" t="s">
        <v>132</v>
      </c>
      <c r="I28" s="8" t="str">
        <f t="shared" si="0"/>
        <v>group_027</v>
      </c>
      <c r="J28" s="7">
        <v>1</v>
      </c>
      <c r="K28" s="9" t="s">
        <v>277</v>
      </c>
    </row>
    <row r="29" spans="1:11" s="7" customFormat="1" x14ac:dyDescent="0.15">
      <c r="D29" s="9"/>
      <c r="E29" s="9"/>
      <c r="F29" s="9"/>
      <c r="G29" s="9"/>
      <c r="H29" s="9"/>
      <c r="I29" s="8"/>
      <c r="K29" s="9"/>
    </row>
    <row r="30" spans="1:11" s="7" customFormat="1" x14ac:dyDescent="0.15">
      <c r="A30" s="7" t="str">
        <f>A2</f>
        <v>ai*ai</v>
      </c>
      <c r="B30" s="9" t="str">
        <f>K2</f>
        <v>lobby_a</v>
      </c>
      <c r="C30" s="7">
        <f>J2</f>
        <v>0</v>
      </c>
      <c r="D30" s="9" t="str">
        <f>F2</f>
        <v>10:55</v>
      </c>
      <c r="E30" s="9" t="str">
        <f>G2</f>
        <v>11:55</v>
      </c>
      <c r="F30" s="9"/>
      <c r="G30" s="9"/>
      <c r="H30" s="9"/>
      <c r="I30" s="8" t="str">
        <f t="shared" si="0"/>
        <v>group_029</v>
      </c>
      <c r="K30" s="9"/>
    </row>
    <row r="31" spans="1:11" s="7" customFormat="1" x14ac:dyDescent="0.15">
      <c r="A31" s="7" t="str">
        <f t="shared" ref="A31" si="1">A3</f>
        <v>Drug&amp;Drop</v>
      </c>
      <c r="B31" s="9" t="str">
        <f>K3</f>
        <v>lobby_b</v>
      </c>
      <c r="C31" s="7">
        <f t="shared" ref="C31" si="2">J3</f>
        <v>0</v>
      </c>
      <c r="D31" s="9" t="str">
        <f t="shared" ref="D31:E31" si="3">F3</f>
        <v>11:10</v>
      </c>
      <c r="E31" s="9" t="str">
        <f t="shared" si="3"/>
        <v>12:10</v>
      </c>
      <c r="F31" s="9"/>
      <c r="G31" s="9"/>
      <c r="H31" s="9"/>
      <c r="I31" s="8" t="str">
        <f t="shared" si="0"/>
        <v>group_030</v>
      </c>
      <c r="K31" s="9"/>
    </row>
    <row r="32" spans="1:11" s="7" customFormat="1" x14ac:dyDescent="0.15">
      <c r="A32" s="7" t="str">
        <f>A5</f>
        <v>カラフルスクリーム</v>
      </c>
      <c r="B32" s="9" t="str">
        <f>K5</f>
        <v>lobby_c</v>
      </c>
      <c r="C32" s="7">
        <f>J5</f>
        <v>0</v>
      </c>
      <c r="D32" s="9" t="str">
        <f t="shared" ref="D32:E32" si="4">F5</f>
        <v>11:45</v>
      </c>
      <c r="E32" s="9" t="str">
        <f t="shared" si="4"/>
        <v>12:45</v>
      </c>
      <c r="F32" s="9"/>
      <c r="G32" s="9"/>
      <c r="H32" s="9"/>
      <c r="I32" s="8" t="str">
        <f t="shared" si="0"/>
        <v>group_031</v>
      </c>
      <c r="K32" s="9"/>
    </row>
    <row r="33" spans="1:11" s="7" customFormat="1" x14ac:dyDescent="0.15">
      <c r="A33" s="7" t="str">
        <f>A6</f>
        <v>のんふぃく！</v>
      </c>
      <c r="B33" s="9" t="str">
        <f>K6</f>
        <v>lobby_a</v>
      </c>
      <c r="C33" s="7">
        <f>J6</f>
        <v>0</v>
      </c>
      <c r="D33" s="9" t="str">
        <f t="shared" ref="D33:E33" si="5">F6</f>
        <v>12:10</v>
      </c>
      <c r="E33" s="9" t="str">
        <f t="shared" si="5"/>
        <v>13:10</v>
      </c>
      <c r="F33" s="9"/>
      <c r="G33" s="9"/>
      <c r="H33" s="9"/>
      <c r="I33" s="8" t="str">
        <f t="shared" si="0"/>
        <v>group_032</v>
      </c>
      <c r="K33" s="9"/>
    </row>
    <row r="34" spans="1:11" s="7" customFormat="1" x14ac:dyDescent="0.15">
      <c r="A34" s="7" t="str">
        <f>A7</f>
        <v>C;ON</v>
      </c>
      <c r="B34" s="9" t="str">
        <f>K7</f>
        <v>lobby_b</v>
      </c>
      <c r="C34" s="7">
        <f>J7</f>
        <v>0</v>
      </c>
      <c r="D34" s="9" t="str">
        <f t="shared" ref="D34:E34" si="6">F7</f>
        <v>12:35</v>
      </c>
      <c r="E34" s="9" t="str">
        <f t="shared" si="6"/>
        <v>13:35</v>
      </c>
      <c r="F34" s="9"/>
      <c r="G34" s="9"/>
      <c r="H34" s="9"/>
      <c r="I34" s="8" t="str">
        <f t="shared" si="0"/>
        <v>group_033</v>
      </c>
      <c r="K34" s="9"/>
    </row>
    <row r="35" spans="1:11" s="7" customFormat="1" x14ac:dyDescent="0.15">
      <c r="A35" s="7" t="str">
        <f>A8</f>
        <v>手羽先センセーション</v>
      </c>
      <c r="B35" s="9" t="str">
        <f>K8</f>
        <v>lobby_c</v>
      </c>
      <c r="C35" s="7">
        <f>J8</f>
        <v>0</v>
      </c>
      <c r="D35" s="9" t="str">
        <f t="shared" ref="D35:E35" si="7">F8</f>
        <v>13:00</v>
      </c>
      <c r="E35" s="9" t="str">
        <f t="shared" si="7"/>
        <v>14:00</v>
      </c>
      <c r="F35" s="9"/>
      <c r="G35" s="9"/>
      <c r="H35" s="9"/>
      <c r="I35" s="8" t="str">
        <f t="shared" si="0"/>
        <v>group_034</v>
      </c>
      <c r="K35" s="9"/>
    </row>
    <row r="36" spans="1:11" s="7" customFormat="1" x14ac:dyDescent="0.15">
      <c r="A36" s="7" t="str">
        <f>A10</f>
        <v>なみだ色の消しごむ</v>
      </c>
      <c r="B36" s="9" t="str">
        <f>K10</f>
        <v>lobby_a</v>
      </c>
      <c r="C36" s="7">
        <f>J10</f>
        <v>0</v>
      </c>
      <c r="D36" s="9" t="str">
        <f t="shared" ref="D36:E36" si="8">F10</f>
        <v>13:35</v>
      </c>
      <c r="E36" s="9" t="str">
        <f t="shared" si="8"/>
        <v>14:35</v>
      </c>
      <c r="F36" s="9"/>
      <c r="G36" s="9"/>
      <c r="H36" s="9"/>
      <c r="I36" s="8" t="str">
        <f t="shared" si="0"/>
        <v>group_035</v>
      </c>
      <c r="K36" s="9"/>
    </row>
    <row r="37" spans="1:11" s="7" customFormat="1" x14ac:dyDescent="0.15">
      <c r="A37" s="7" t="str">
        <f>A11</f>
        <v>ナナランド</v>
      </c>
      <c r="B37" s="9" t="str">
        <f>K11</f>
        <v>lobby_b</v>
      </c>
      <c r="C37" s="7">
        <f>J11</f>
        <v>0</v>
      </c>
      <c r="D37" s="9" t="str">
        <f t="shared" ref="D37:E37" si="9">F11</f>
        <v>14:00</v>
      </c>
      <c r="E37" s="9" t="str">
        <f t="shared" si="9"/>
        <v>15:00</v>
      </c>
      <c r="F37" s="9"/>
      <c r="G37" s="9"/>
      <c r="H37" s="9"/>
      <c r="I37" s="8" t="str">
        <f t="shared" si="0"/>
        <v>group_036</v>
      </c>
      <c r="K37" s="9"/>
    </row>
    <row r="38" spans="1:11" s="7" customFormat="1" x14ac:dyDescent="0.15">
      <c r="A38" s="7" t="str">
        <f>A12</f>
        <v>キングサリ</v>
      </c>
      <c r="B38" s="9" t="str">
        <f>K12</f>
        <v>lobby_c</v>
      </c>
      <c r="C38" s="7">
        <f>J12</f>
        <v>0</v>
      </c>
      <c r="D38" s="9" t="str">
        <f t="shared" ref="D38:E38" si="10">F12</f>
        <v>14:25</v>
      </c>
      <c r="E38" s="9" t="str">
        <f t="shared" si="10"/>
        <v>15:25</v>
      </c>
      <c r="F38" s="9"/>
      <c r="G38" s="9"/>
      <c r="H38" s="9"/>
      <c r="I38" s="8" t="str">
        <f t="shared" si="0"/>
        <v>group_037</v>
      </c>
      <c r="K38" s="9"/>
    </row>
    <row r="39" spans="1:11" s="7" customFormat="1" x14ac:dyDescent="0.15">
      <c r="A39" s="7" t="str">
        <f>A13</f>
        <v>THE ORCHESTRA TOKYO</v>
      </c>
      <c r="B39" s="9" t="str">
        <f>K13</f>
        <v>lobby_a</v>
      </c>
      <c r="C39" s="7">
        <f>J13</f>
        <v>0</v>
      </c>
      <c r="D39" s="9" t="str">
        <f t="shared" ref="D39:E39" si="11">F13</f>
        <v>14:50</v>
      </c>
      <c r="E39" s="9" t="str">
        <f t="shared" si="11"/>
        <v>15:50</v>
      </c>
      <c r="F39" s="9"/>
      <c r="G39" s="9"/>
      <c r="H39" s="9"/>
      <c r="I39" s="8" t="str">
        <f t="shared" si="0"/>
        <v>group_038</v>
      </c>
      <c r="K39" s="9"/>
    </row>
    <row r="40" spans="1:11" s="7" customFormat="1" x14ac:dyDescent="0.15">
      <c r="A40" s="7" t="str">
        <f>A15</f>
        <v>MyDearDarlin'</v>
      </c>
      <c r="B40" s="9" t="str">
        <f>K15</f>
        <v>lobby_b</v>
      </c>
      <c r="C40" s="7">
        <f>J15</f>
        <v>1</v>
      </c>
      <c r="D40" s="9" t="str">
        <f t="shared" ref="D40:E40" si="12">F15</f>
        <v>15:25</v>
      </c>
      <c r="E40" s="9" t="str">
        <f t="shared" si="12"/>
        <v>16:25</v>
      </c>
      <c r="F40" s="9"/>
      <c r="G40" s="9"/>
      <c r="H40" s="9"/>
      <c r="I40" s="8" t="str">
        <f t="shared" si="0"/>
        <v>group_039</v>
      </c>
      <c r="K40" s="9"/>
    </row>
    <row r="41" spans="1:11" s="7" customFormat="1" x14ac:dyDescent="0.15">
      <c r="A41" s="7" t="str">
        <f>A16</f>
        <v>NEO JAPONISM</v>
      </c>
      <c r="B41" s="9" t="str">
        <f>K16</f>
        <v>lobby_c</v>
      </c>
      <c r="C41" s="7">
        <f>J16</f>
        <v>0</v>
      </c>
      <c r="D41" s="9" t="str">
        <f t="shared" ref="D41:E41" si="13">F16</f>
        <v>15:50</v>
      </c>
      <c r="E41" s="9" t="str">
        <f t="shared" si="13"/>
        <v>16:50</v>
      </c>
      <c r="F41" s="9"/>
      <c r="G41" s="9"/>
      <c r="H41" s="9"/>
      <c r="I41" s="8" t="str">
        <f t="shared" si="0"/>
        <v>group_040</v>
      </c>
      <c r="K41" s="9"/>
    </row>
    <row r="42" spans="1:11" s="7" customFormat="1" x14ac:dyDescent="0.15">
      <c r="A42" s="7" t="str">
        <f>A17</f>
        <v>Kolokol</v>
      </c>
      <c r="B42" s="9" t="str">
        <f>K17</f>
        <v>lobby_a</v>
      </c>
      <c r="C42" s="7">
        <f>J17</f>
        <v>0</v>
      </c>
      <c r="D42" s="9" t="str">
        <f t="shared" ref="D42:E42" si="14">F17</f>
        <v>16:15</v>
      </c>
      <c r="E42" s="9" t="str">
        <f t="shared" si="14"/>
        <v>17:15</v>
      </c>
      <c r="F42" s="9"/>
      <c r="G42" s="9"/>
      <c r="H42" s="9"/>
      <c r="I42" s="8" t="str">
        <f t="shared" si="0"/>
        <v>group_041</v>
      </c>
      <c r="K42" s="9"/>
    </row>
    <row r="43" spans="1:11" s="7" customFormat="1" x14ac:dyDescent="0.15">
      <c r="A43" s="7" t="str">
        <f>A18</f>
        <v>INUWASI</v>
      </c>
      <c r="B43" s="9" t="str">
        <f>K18</f>
        <v>lobby_b</v>
      </c>
      <c r="C43" s="7">
        <f>J18</f>
        <v>1</v>
      </c>
      <c r="D43" s="9" t="str">
        <f t="shared" ref="D43:E43" si="15">F18</f>
        <v>16:40</v>
      </c>
      <c r="E43" s="9" t="str">
        <f t="shared" si="15"/>
        <v>17:40</v>
      </c>
      <c r="F43" s="9"/>
      <c r="G43" s="9"/>
      <c r="H43" s="9"/>
      <c r="I43" s="8" t="str">
        <f t="shared" si="0"/>
        <v>group_042</v>
      </c>
      <c r="K43" s="9"/>
    </row>
    <row r="44" spans="1:11" s="7" customFormat="1" x14ac:dyDescent="0.15">
      <c r="A44" s="7" t="str">
        <f>A20</f>
        <v>まねきケチャ</v>
      </c>
      <c r="B44" s="9" t="str">
        <f>K20</f>
        <v>lobby_c</v>
      </c>
      <c r="C44" s="7">
        <f>J20</f>
        <v>0</v>
      </c>
      <c r="D44" s="9" t="str">
        <f t="shared" ref="D44:E44" si="16">F20</f>
        <v>17:20</v>
      </c>
      <c r="E44" s="9" t="str">
        <f t="shared" si="16"/>
        <v>18:20</v>
      </c>
      <c r="F44" s="9"/>
      <c r="G44" s="9"/>
      <c r="H44" s="9"/>
      <c r="I44" s="8" t="str">
        <f t="shared" si="0"/>
        <v>group_043</v>
      </c>
      <c r="K44" s="9"/>
    </row>
    <row r="45" spans="1:11" s="7" customFormat="1" x14ac:dyDescent="0.15">
      <c r="A45" s="7" t="str">
        <f>A21</f>
        <v>Peel the Apple</v>
      </c>
      <c r="B45" s="9" t="str">
        <f>K21</f>
        <v>lobby_a</v>
      </c>
      <c r="C45" s="7">
        <f>J21</f>
        <v>1</v>
      </c>
      <c r="D45" s="9" t="str">
        <f t="shared" ref="D45:E45" si="17">F21</f>
        <v>17:45</v>
      </c>
      <c r="E45" s="9" t="str">
        <f t="shared" si="17"/>
        <v>18:45</v>
      </c>
      <c r="F45" s="9"/>
      <c r="G45" s="9"/>
      <c r="H45" s="9"/>
      <c r="I45" s="8" t="str">
        <f t="shared" si="0"/>
        <v>group_044</v>
      </c>
      <c r="K45" s="9"/>
    </row>
    <row r="46" spans="1:11" s="7" customFormat="1" x14ac:dyDescent="0.15">
      <c r="A46" s="7" t="str">
        <f>A22</f>
        <v>ラフ×ラフ</v>
      </c>
      <c r="B46" s="9" t="str">
        <f>K22</f>
        <v>lobby_b</v>
      </c>
      <c r="C46" s="7">
        <f>J22</f>
        <v>0</v>
      </c>
      <c r="D46" s="9" t="str">
        <f t="shared" ref="D46:E46" si="18">F22</f>
        <v>18:10</v>
      </c>
      <c r="E46" s="9" t="str">
        <f t="shared" si="18"/>
        <v>19:10</v>
      </c>
      <c r="F46" s="9"/>
      <c r="G46" s="9"/>
      <c r="H46" s="9"/>
      <c r="I46" s="8" t="str">
        <f t="shared" si="0"/>
        <v>group_045</v>
      </c>
      <c r="K46" s="9"/>
    </row>
    <row r="47" spans="1:11" s="7" customFormat="1" x14ac:dyDescent="0.15">
      <c r="A47" s="7" t="str">
        <f>A23</f>
        <v>おこさまぷれ～と</v>
      </c>
      <c r="B47" s="9" t="str">
        <f>K23</f>
        <v>lobby_c</v>
      </c>
      <c r="C47" s="7">
        <f>J23</f>
        <v>0</v>
      </c>
      <c r="D47" s="9" t="str">
        <f t="shared" ref="D47:E47" si="19">F23</f>
        <v>18:35</v>
      </c>
      <c r="E47" s="9" t="str">
        <f t="shared" si="19"/>
        <v>19:35</v>
      </c>
      <c r="F47" s="9"/>
      <c r="G47" s="9"/>
      <c r="H47" s="9"/>
      <c r="I47" s="8" t="str">
        <f t="shared" si="0"/>
        <v>group_046</v>
      </c>
      <c r="K47" s="9"/>
    </row>
    <row r="48" spans="1:11" s="7" customFormat="1" x14ac:dyDescent="0.15">
      <c r="A48" s="7" t="str">
        <f>A25</f>
        <v>JamsCollection</v>
      </c>
      <c r="B48" s="9" t="str">
        <f>K25</f>
        <v>lobby_a</v>
      </c>
      <c r="C48" s="7">
        <f>J25</f>
        <v>1</v>
      </c>
      <c r="D48" s="9" t="str">
        <f t="shared" ref="D48:E48" si="20">F25</f>
        <v>19:10</v>
      </c>
      <c r="E48" s="9" t="str">
        <f t="shared" si="20"/>
        <v>20:10</v>
      </c>
      <c r="F48" s="9"/>
      <c r="G48" s="9"/>
      <c r="H48" s="9"/>
      <c r="I48" s="8" t="str">
        <f t="shared" si="0"/>
        <v>group_047</v>
      </c>
      <c r="K48" s="9"/>
    </row>
    <row r="49" spans="1:11" s="7" customFormat="1" x14ac:dyDescent="0.15">
      <c r="A49" s="7" t="str">
        <f>A26</f>
        <v>かすみ草とステラ</v>
      </c>
      <c r="B49" s="9" t="str">
        <f>K26</f>
        <v>lobby_b</v>
      </c>
      <c r="C49" s="7">
        <f>J26</f>
        <v>0</v>
      </c>
      <c r="D49" s="9" t="str">
        <f t="shared" ref="D49:E49" si="21">F26</f>
        <v>20:40</v>
      </c>
      <c r="E49" s="9" t="str">
        <f t="shared" si="21"/>
        <v>21:40</v>
      </c>
      <c r="F49" s="9"/>
      <c r="G49" s="9"/>
      <c r="H49" s="9"/>
      <c r="I49" s="8" t="str">
        <f t="shared" si="0"/>
        <v>group_048</v>
      </c>
      <c r="K49" s="9"/>
    </row>
    <row r="50" spans="1:11" s="7" customFormat="1" x14ac:dyDescent="0.15">
      <c r="A50" s="7" t="str">
        <f>A27</f>
        <v>Devil ANTHEM.</v>
      </c>
      <c r="B50" s="9" t="str">
        <f>K27</f>
        <v>hall_a</v>
      </c>
      <c r="C50" s="7">
        <f t="shared" ref="C50:C51" si="22">J27</f>
        <v>0</v>
      </c>
      <c r="D50" s="9" t="str">
        <f t="shared" ref="D50:D51" si="23">F27</f>
        <v>20:40</v>
      </c>
      <c r="E50" s="9" t="str">
        <f t="shared" ref="E50:E51" si="24">G27</f>
        <v>21:40</v>
      </c>
      <c r="F50" s="9"/>
      <c r="G50" s="9"/>
      <c r="H50" s="9"/>
      <c r="I50" s="8" t="str">
        <f t="shared" si="0"/>
        <v>group_049</v>
      </c>
      <c r="K50" s="9"/>
    </row>
    <row r="51" spans="1:11" s="7" customFormat="1" x14ac:dyDescent="0.15">
      <c r="A51" s="7" t="str">
        <f>A28</f>
        <v>FES☆TIVE</v>
      </c>
      <c r="B51" s="9" t="str">
        <f>K28</f>
        <v>hall_b</v>
      </c>
      <c r="C51" s="7">
        <f t="shared" si="22"/>
        <v>1</v>
      </c>
      <c r="D51" s="9" t="str">
        <f t="shared" si="23"/>
        <v>20:40</v>
      </c>
      <c r="E51" s="9" t="str">
        <f t="shared" si="24"/>
        <v>21:40</v>
      </c>
      <c r="F51" s="9"/>
      <c r="G51" s="9"/>
      <c r="H51" s="9"/>
      <c r="I51" s="8" t="str">
        <f t="shared" si="0"/>
        <v>group_050</v>
      </c>
      <c r="K51" s="9"/>
    </row>
    <row r="52" spans="1:11" s="7" customFormat="1" x14ac:dyDescent="0.15">
      <c r="D52" s="9"/>
      <c r="E52" s="9"/>
      <c r="F52" s="9"/>
      <c r="G52" s="9"/>
      <c r="H52" s="9"/>
      <c r="I52" s="8"/>
      <c r="K52" s="9"/>
    </row>
    <row r="53" spans="1:11" s="7" customFormat="1" x14ac:dyDescent="0.15">
      <c r="D53" s="9"/>
      <c r="E53" s="9"/>
      <c r="F53" s="9"/>
      <c r="G53" s="9"/>
      <c r="H53" s="9"/>
      <c r="I53" s="8"/>
      <c r="K53" s="9"/>
    </row>
    <row r="54" spans="1:11" x14ac:dyDescent="0.15">
      <c r="A54" t="s">
        <v>222</v>
      </c>
      <c r="B54" s="2" t="s">
        <v>215</v>
      </c>
      <c r="C54" s="4">
        <v>0</v>
      </c>
      <c r="D54" s="6" t="s">
        <v>114</v>
      </c>
      <c r="E54" s="9" t="s">
        <v>170</v>
      </c>
      <c r="F54" s="6" t="s">
        <v>171</v>
      </c>
      <c r="G54" s="9" t="s">
        <v>172</v>
      </c>
      <c r="H54" s="9" t="s">
        <v>211</v>
      </c>
      <c r="I54" s="8" t="str">
        <f t="shared" si="0"/>
        <v>group_053</v>
      </c>
      <c r="J54" s="7">
        <v>0</v>
      </c>
    </row>
    <row r="55" spans="1:11" x14ac:dyDescent="0.15">
      <c r="A55" t="s">
        <v>145</v>
      </c>
      <c r="B55" s="7" t="s">
        <v>215</v>
      </c>
      <c r="C55" s="4">
        <v>0</v>
      </c>
      <c r="D55" s="9" t="s">
        <v>170</v>
      </c>
      <c r="E55" s="9" t="s">
        <v>173</v>
      </c>
      <c r="F55" s="6" t="s">
        <v>174</v>
      </c>
      <c r="G55" s="9" t="s">
        <v>60</v>
      </c>
      <c r="H55" s="9" t="s">
        <v>212</v>
      </c>
      <c r="I55" s="8" t="str">
        <f t="shared" si="0"/>
        <v>group_054</v>
      </c>
      <c r="J55" s="7">
        <v>0</v>
      </c>
    </row>
    <row r="56" spans="1:11" x14ac:dyDescent="0.15">
      <c r="A56" t="s">
        <v>218</v>
      </c>
      <c r="B56" s="7" t="s">
        <v>215</v>
      </c>
      <c r="C56" s="7">
        <v>0</v>
      </c>
      <c r="D56" s="9" t="s">
        <v>173</v>
      </c>
      <c r="E56" s="9" t="s">
        <v>68</v>
      </c>
      <c r="F56" s="6" t="s">
        <v>115</v>
      </c>
      <c r="G56" s="9" t="s">
        <v>45</v>
      </c>
      <c r="H56" s="9" t="s">
        <v>213</v>
      </c>
      <c r="I56" s="8" t="str">
        <f t="shared" si="0"/>
        <v>group_055</v>
      </c>
      <c r="J56" s="7">
        <v>0</v>
      </c>
    </row>
    <row r="57" spans="1:11" x14ac:dyDescent="0.15">
      <c r="A57" t="s">
        <v>146</v>
      </c>
      <c r="B57" s="7" t="s">
        <v>215</v>
      </c>
      <c r="C57" s="7">
        <v>0</v>
      </c>
      <c r="D57" s="9" t="s">
        <v>68</v>
      </c>
      <c r="E57" s="9" t="s">
        <v>175</v>
      </c>
      <c r="F57" s="6" t="s">
        <v>172</v>
      </c>
      <c r="G57" s="9" t="s">
        <v>176</v>
      </c>
      <c r="H57" s="9" t="s">
        <v>214</v>
      </c>
      <c r="I57" s="8" t="str">
        <f t="shared" si="0"/>
        <v>group_056</v>
      </c>
      <c r="J57" s="7">
        <v>0</v>
      </c>
    </row>
    <row r="58" spans="1:11" x14ac:dyDescent="0.15">
      <c r="A58" t="s">
        <v>147</v>
      </c>
      <c r="B58" s="7" t="s">
        <v>215</v>
      </c>
      <c r="C58" s="7">
        <v>0</v>
      </c>
      <c r="D58" s="9" t="s">
        <v>175</v>
      </c>
      <c r="E58" s="9" t="s">
        <v>59</v>
      </c>
      <c r="F58" s="6"/>
      <c r="I58" s="8" t="str">
        <f t="shared" si="0"/>
        <v>group_057</v>
      </c>
      <c r="J58" s="7">
        <v>0</v>
      </c>
    </row>
    <row r="59" spans="1:11" x14ac:dyDescent="0.15">
      <c r="A59" t="s">
        <v>148</v>
      </c>
      <c r="B59" s="7" t="s">
        <v>215</v>
      </c>
      <c r="C59" s="7">
        <v>0</v>
      </c>
      <c r="D59" s="9" t="s">
        <v>59</v>
      </c>
      <c r="E59" s="9" t="s">
        <v>44</v>
      </c>
      <c r="F59" s="6" t="s">
        <v>177</v>
      </c>
      <c r="G59" s="9" t="s">
        <v>178</v>
      </c>
      <c r="H59" s="9" t="s">
        <v>211</v>
      </c>
      <c r="I59" s="8" t="str">
        <f t="shared" si="0"/>
        <v>group_058</v>
      </c>
      <c r="J59" s="7">
        <v>0</v>
      </c>
    </row>
    <row r="60" spans="1:11" x14ac:dyDescent="0.15">
      <c r="A60" t="s">
        <v>149</v>
      </c>
      <c r="B60" s="7" t="s">
        <v>215</v>
      </c>
      <c r="C60" s="7">
        <v>0</v>
      </c>
      <c r="D60" s="9" t="s">
        <v>44</v>
      </c>
      <c r="E60" s="9" t="s">
        <v>179</v>
      </c>
      <c r="F60" s="6" t="s">
        <v>180</v>
      </c>
      <c r="G60" s="9" t="s">
        <v>70</v>
      </c>
      <c r="H60" s="9" t="s">
        <v>212</v>
      </c>
      <c r="I60" s="8" t="str">
        <f t="shared" si="0"/>
        <v>group_059</v>
      </c>
      <c r="J60" s="7">
        <v>0</v>
      </c>
    </row>
    <row r="61" spans="1:11" x14ac:dyDescent="0.15">
      <c r="A61" t="s">
        <v>150</v>
      </c>
      <c r="B61" s="7" t="s">
        <v>215</v>
      </c>
      <c r="C61" s="7">
        <v>0</v>
      </c>
      <c r="D61" s="9" t="s">
        <v>179</v>
      </c>
      <c r="E61" s="9" t="s">
        <v>121</v>
      </c>
      <c r="F61" s="6" t="s">
        <v>46</v>
      </c>
      <c r="G61" s="9" t="s">
        <v>61</v>
      </c>
      <c r="H61" s="9" t="s">
        <v>213</v>
      </c>
      <c r="I61" s="8" t="str">
        <f t="shared" si="0"/>
        <v>group_060</v>
      </c>
      <c r="J61" s="7">
        <v>0</v>
      </c>
    </row>
    <row r="62" spans="1:11" x14ac:dyDescent="0.15">
      <c r="A62" t="s">
        <v>151</v>
      </c>
      <c r="B62" s="7" t="s">
        <v>215</v>
      </c>
      <c r="C62" s="7">
        <v>0</v>
      </c>
      <c r="D62" s="9" t="s">
        <v>121</v>
      </c>
      <c r="E62" s="9" t="s">
        <v>181</v>
      </c>
      <c r="F62" s="6" t="s">
        <v>178</v>
      </c>
      <c r="G62" s="9" t="s">
        <v>182</v>
      </c>
      <c r="H62" s="9" t="s">
        <v>214</v>
      </c>
      <c r="I62" s="8" t="str">
        <f t="shared" si="0"/>
        <v>group_061</v>
      </c>
      <c r="J62" s="7">
        <v>0</v>
      </c>
    </row>
    <row r="63" spans="1:11" x14ac:dyDescent="0.15">
      <c r="A63" t="s">
        <v>147</v>
      </c>
      <c r="B63" s="7" t="s">
        <v>215</v>
      </c>
      <c r="C63" s="7">
        <v>0</v>
      </c>
      <c r="D63" s="9" t="s">
        <v>181</v>
      </c>
      <c r="E63" s="9" t="s">
        <v>69</v>
      </c>
      <c r="F63" s="6"/>
      <c r="I63" s="8" t="str">
        <f t="shared" si="0"/>
        <v>group_062</v>
      </c>
      <c r="J63" s="7">
        <v>0</v>
      </c>
    </row>
    <row r="64" spans="1:11" x14ac:dyDescent="0.15">
      <c r="A64" t="s">
        <v>152</v>
      </c>
      <c r="B64" s="7" t="s">
        <v>215</v>
      </c>
      <c r="C64" s="7">
        <v>0</v>
      </c>
      <c r="D64" s="9" t="s">
        <v>69</v>
      </c>
      <c r="E64" s="9" t="s">
        <v>183</v>
      </c>
      <c r="F64" s="6" t="s">
        <v>184</v>
      </c>
      <c r="G64" s="9" t="s">
        <v>185</v>
      </c>
      <c r="H64" s="9" t="s">
        <v>211</v>
      </c>
      <c r="I64" s="8" t="str">
        <f t="shared" si="0"/>
        <v>group_063</v>
      </c>
      <c r="J64" s="7">
        <v>0</v>
      </c>
    </row>
    <row r="65" spans="1:10" x14ac:dyDescent="0.15">
      <c r="A65" t="s">
        <v>153</v>
      </c>
      <c r="B65" s="7" t="s">
        <v>215</v>
      </c>
      <c r="C65" s="7">
        <v>0</v>
      </c>
      <c r="D65" s="9" t="s">
        <v>183</v>
      </c>
      <c r="E65" s="9" t="s">
        <v>186</v>
      </c>
      <c r="F65" s="6" t="s">
        <v>71</v>
      </c>
      <c r="G65" s="9" t="s">
        <v>73</v>
      </c>
      <c r="H65" s="9" t="s">
        <v>212</v>
      </c>
      <c r="I65" s="8" t="str">
        <f t="shared" si="0"/>
        <v>group_064</v>
      </c>
      <c r="J65" s="7">
        <v>0</v>
      </c>
    </row>
    <row r="66" spans="1:10" x14ac:dyDescent="0.15">
      <c r="A66" t="s">
        <v>154</v>
      </c>
      <c r="B66" s="7" t="s">
        <v>215</v>
      </c>
      <c r="C66" s="7">
        <v>0</v>
      </c>
      <c r="D66" s="9" t="s">
        <v>186</v>
      </c>
      <c r="E66" s="9" t="s">
        <v>124</v>
      </c>
      <c r="F66" s="6" t="s">
        <v>62</v>
      </c>
      <c r="G66" s="9" t="s">
        <v>187</v>
      </c>
      <c r="H66" s="9" t="s">
        <v>213</v>
      </c>
      <c r="I66" s="8" t="str">
        <f t="shared" si="0"/>
        <v>group_065</v>
      </c>
      <c r="J66" s="7">
        <v>0</v>
      </c>
    </row>
    <row r="67" spans="1:10" x14ac:dyDescent="0.15">
      <c r="A67" t="s">
        <v>155</v>
      </c>
      <c r="B67" s="7" t="s">
        <v>215</v>
      </c>
      <c r="C67" s="7">
        <v>0</v>
      </c>
      <c r="D67" s="9" t="s">
        <v>124</v>
      </c>
      <c r="E67" s="9" t="s">
        <v>188</v>
      </c>
      <c r="F67" s="6" t="s">
        <v>185</v>
      </c>
      <c r="G67" s="9" t="s">
        <v>189</v>
      </c>
      <c r="H67" s="9" t="s">
        <v>214</v>
      </c>
      <c r="I67" s="8" t="str">
        <f t="shared" si="0"/>
        <v>group_066</v>
      </c>
      <c r="J67" s="7">
        <v>0</v>
      </c>
    </row>
    <row r="68" spans="1:10" x14ac:dyDescent="0.15">
      <c r="A68" t="s">
        <v>147</v>
      </c>
      <c r="B68" s="7" t="s">
        <v>215</v>
      </c>
      <c r="C68" s="7">
        <v>0</v>
      </c>
      <c r="D68" s="9" t="s">
        <v>188</v>
      </c>
      <c r="E68" s="9" t="s">
        <v>72</v>
      </c>
      <c r="F68" s="6"/>
      <c r="I68" s="8" t="str">
        <f t="shared" si="0"/>
        <v>group_067</v>
      </c>
      <c r="J68" s="7">
        <v>0</v>
      </c>
    </row>
    <row r="69" spans="1:10" x14ac:dyDescent="0.15">
      <c r="A69" t="s">
        <v>156</v>
      </c>
      <c r="B69" s="7" t="s">
        <v>215</v>
      </c>
      <c r="C69" s="7">
        <v>0</v>
      </c>
      <c r="D69" s="9" t="s">
        <v>72</v>
      </c>
      <c r="E69" s="9" t="s">
        <v>190</v>
      </c>
      <c r="F69" s="6" t="s">
        <v>191</v>
      </c>
      <c r="G69" s="9" t="s">
        <v>192</v>
      </c>
      <c r="H69" s="9" t="s">
        <v>211</v>
      </c>
      <c r="I69" s="8" t="str">
        <f t="shared" si="0"/>
        <v>group_068</v>
      </c>
      <c r="J69" s="7">
        <v>0</v>
      </c>
    </row>
    <row r="70" spans="1:10" x14ac:dyDescent="0.15">
      <c r="A70" t="s">
        <v>40</v>
      </c>
      <c r="B70" s="7" t="s">
        <v>215</v>
      </c>
      <c r="C70" s="7">
        <v>0</v>
      </c>
      <c r="D70" s="9" t="s">
        <v>190</v>
      </c>
      <c r="E70" s="9" t="s">
        <v>193</v>
      </c>
      <c r="F70" s="6" t="s">
        <v>74</v>
      </c>
      <c r="G70" s="9" t="s">
        <v>194</v>
      </c>
      <c r="H70" s="9" t="s">
        <v>212</v>
      </c>
      <c r="I70" s="8" t="str">
        <f t="shared" si="0"/>
        <v>group_069</v>
      </c>
      <c r="J70" s="7">
        <v>0</v>
      </c>
    </row>
    <row r="71" spans="1:10" x14ac:dyDescent="0.15">
      <c r="A71" t="s">
        <v>157</v>
      </c>
      <c r="B71" s="7" t="s">
        <v>215</v>
      </c>
      <c r="C71" s="7">
        <v>0</v>
      </c>
      <c r="D71" s="9" t="s">
        <v>193</v>
      </c>
      <c r="E71" s="9" t="s">
        <v>126</v>
      </c>
      <c r="F71" s="6" t="s">
        <v>47</v>
      </c>
      <c r="G71" s="9" t="s">
        <v>195</v>
      </c>
      <c r="H71" s="9" t="s">
        <v>213</v>
      </c>
      <c r="I71" s="8" t="str">
        <f t="shared" si="0"/>
        <v>group_070</v>
      </c>
      <c r="J71" s="7">
        <v>0</v>
      </c>
    </row>
    <row r="72" spans="1:10" x14ac:dyDescent="0.15">
      <c r="A72" t="s">
        <v>158</v>
      </c>
      <c r="B72" s="7" t="s">
        <v>215</v>
      </c>
      <c r="C72" s="7">
        <v>0</v>
      </c>
      <c r="D72" s="9" t="s">
        <v>126</v>
      </c>
      <c r="E72" s="9" t="s">
        <v>196</v>
      </c>
      <c r="F72" s="6" t="s">
        <v>192</v>
      </c>
      <c r="G72" s="9" t="s">
        <v>51</v>
      </c>
      <c r="H72" s="9" t="s">
        <v>214</v>
      </c>
      <c r="I72" s="8" t="str">
        <f t="shared" si="0"/>
        <v>group_071</v>
      </c>
      <c r="J72" s="7">
        <v>0</v>
      </c>
    </row>
    <row r="73" spans="1:10" x14ac:dyDescent="0.15">
      <c r="A73" t="s">
        <v>147</v>
      </c>
      <c r="B73" s="7" t="s">
        <v>215</v>
      </c>
      <c r="C73" s="7">
        <v>0</v>
      </c>
      <c r="D73" s="9" t="s">
        <v>196</v>
      </c>
      <c r="E73" s="9" t="s">
        <v>79</v>
      </c>
      <c r="F73" s="6"/>
      <c r="I73" s="8" t="str">
        <f t="shared" si="0"/>
        <v>group_072</v>
      </c>
      <c r="J73" s="7">
        <v>0</v>
      </c>
    </row>
    <row r="74" spans="1:10" x14ac:dyDescent="0.15">
      <c r="A74" t="s">
        <v>159</v>
      </c>
      <c r="B74" s="7" t="s">
        <v>215</v>
      </c>
      <c r="C74" s="4">
        <v>1</v>
      </c>
      <c r="D74" s="9" t="s">
        <v>79</v>
      </c>
      <c r="E74" s="9" t="s">
        <v>197</v>
      </c>
      <c r="F74" s="6" t="s">
        <v>197</v>
      </c>
      <c r="G74" s="9" t="s">
        <v>128</v>
      </c>
      <c r="H74" s="9" t="s">
        <v>211</v>
      </c>
      <c r="I74" s="8" t="str">
        <f t="shared" si="0"/>
        <v>group_073</v>
      </c>
      <c r="J74" s="7">
        <v>1</v>
      </c>
    </row>
    <row r="75" spans="1:10" x14ac:dyDescent="0.15">
      <c r="A75" t="s">
        <v>160</v>
      </c>
      <c r="B75" s="7" t="s">
        <v>215</v>
      </c>
      <c r="C75" s="4">
        <v>0</v>
      </c>
      <c r="D75" s="9" t="s">
        <v>197</v>
      </c>
      <c r="E75" s="9" t="s">
        <v>64</v>
      </c>
      <c r="F75" s="6" t="s">
        <v>198</v>
      </c>
      <c r="G75" s="9" t="s">
        <v>199</v>
      </c>
      <c r="H75" s="9" t="s">
        <v>212</v>
      </c>
      <c r="I75" s="8" t="str">
        <f t="shared" si="0"/>
        <v>group_074</v>
      </c>
      <c r="J75" s="7">
        <v>0</v>
      </c>
    </row>
    <row r="76" spans="1:10" x14ac:dyDescent="0.15">
      <c r="A76" t="s">
        <v>161</v>
      </c>
      <c r="B76" s="7" t="s">
        <v>215</v>
      </c>
      <c r="C76" s="4">
        <v>0</v>
      </c>
      <c r="D76" s="9" t="s">
        <v>64</v>
      </c>
      <c r="E76" s="9" t="s">
        <v>50</v>
      </c>
      <c r="F76" s="6" t="s">
        <v>200</v>
      </c>
      <c r="G76" s="9" t="s">
        <v>201</v>
      </c>
      <c r="H76" s="9" t="s">
        <v>213</v>
      </c>
      <c r="I76" s="8" t="str">
        <f t="shared" si="0"/>
        <v>group_075</v>
      </c>
      <c r="J76" s="7">
        <v>0</v>
      </c>
    </row>
    <row r="77" spans="1:10" x14ac:dyDescent="0.15">
      <c r="A77" t="s">
        <v>162</v>
      </c>
      <c r="B77" s="7" t="s">
        <v>215</v>
      </c>
      <c r="C77" s="4">
        <v>1</v>
      </c>
      <c r="D77" s="9" t="s">
        <v>50</v>
      </c>
      <c r="E77" s="9" t="s">
        <v>128</v>
      </c>
      <c r="F77" s="6" t="s">
        <v>52</v>
      </c>
      <c r="G77" s="9" t="s">
        <v>55</v>
      </c>
      <c r="H77" s="9" t="s">
        <v>214</v>
      </c>
      <c r="I77" s="8" t="str">
        <f t="shared" si="0"/>
        <v>group_076</v>
      </c>
      <c r="J77" s="7">
        <v>1</v>
      </c>
    </row>
    <row r="78" spans="1:10" x14ac:dyDescent="0.15">
      <c r="A78" t="s">
        <v>147</v>
      </c>
      <c r="B78" s="7" t="s">
        <v>215</v>
      </c>
      <c r="C78" s="4">
        <v>0</v>
      </c>
      <c r="D78" s="9" t="s">
        <v>128</v>
      </c>
      <c r="E78" s="9" t="s">
        <v>202</v>
      </c>
      <c r="F78" s="6"/>
      <c r="I78" s="8" t="str">
        <f t="shared" si="0"/>
        <v>group_077</v>
      </c>
      <c r="J78" s="7">
        <v>0</v>
      </c>
    </row>
    <row r="79" spans="1:10" x14ac:dyDescent="0.15">
      <c r="A79" t="s">
        <v>163</v>
      </c>
      <c r="B79" s="7" t="s">
        <v>215</v>
      </c>
      <c r="C79" s="4">
        <v>0</v>
      </c>
      <c r="D79" s="9" t="s">
        <v>202</v>
      </c>
      <c r="E79" s="9" t="s">
        <v>129</v>
      </c>
      <c r="F79" s="6" t="s">
        <v>53</v>
      </c>
      <c r="G79" s="9" t="s">
        <v>56</v>
      </c>
      <c r="H79" s="9" t="s">
        <v>211</v>
      </c>
      <c r="I79" s="8" t="str">
        <f t="shared" si="0"/>
        <v>group_078</v>
      </c>
      <c r="J79" s="7">
        <v>0</v>
      </c>
    </row>
    <row r="80" spans="1:10" x14ac:dyDescent="0.15">
      <c r="A80" t="s">
        <v>164</v>
      </c>
      <c r="B80" s="7" t="s">
        <v>215</v>
      </c>
      <c r="C80" s="7">
        <v>0</v>
      </c>
      <c r="D80" s="9" t="s">
        <v>129</v>
      </c>
      <c r="E80" s="9" t="s">
        <v>76</v>
      </c>
      <c r="F80" s="6" t="s">
        <v>203</v>
      </c>
      <c r="G80" s="9" t="s">
        <v>204</v>
      </c>
      <c r="H80" s="9" t="s">
        <v>212</v>
      </c>
      <c r="I80" s="8" t="str">
        <f t="shared" ref="I80:I86" si="25">"group_"&amp;TEXT(ROW()-1,"000")</f>
        <v>group_079</v>
      </c>
      <c r="J80" s="7">
        <v>0</v>
      </c>
    </row>
    <row r="81" spans="1:10" x14ac:dyDescent="0.15">
      <c r="A81" t="s">
        <v>165</v>
      </c>
      <c r="B81" s="7" t="s">
        <v>215</v>
      </c>
      <c r="C81" s="7">
        <v>0</v>
      </c>
      <c r="D81" s="9" t="s">
        <v>76</v>
      </c>
      <c r="E81" s="9" t="s">
        <v>205</v>
      </c>
      <c r="F81" s="6" t="s">
        <v>206</v>
      </c>
      <c r="G81" s="9" t="s">
        <v>207</v>
      </c>
      <c r="H81" s="9" t="s">
        <v>213</v>
      </c>
      <c r="I81" s="8" t="str">
        <f t="shared" si="25"/>
        <v>group_080</v>
      </c>
      <c r="J81" s="7">
        <v>0</v>
      </c>
    </row>
    <row r="82" spans="1:10" x14ac:dyDescent="0.15">
      <c r="A82" t="s">
        <v>166</v>
      </c>
      <c r="B82" s="7" t="s">
        <v>215</v>
      </c>
      <c r="C82" s="7">
        <v>0</v>
      </c>
      <c r="D82" s="9" t="s">
        <v>205</v>
      </c>
      <c r="E82" s="9" t="s">
        <v>208</v>
      </c>
      <c r="F82" s="6" t="s">
        <v>56</v>
      </c>
      <c r="G82" s="9" t="s">
        <v>209</v>
      </c>
      <c r="H82" s="9" t="s">
        <v>214</v>
      </c>
      <c r="I82" s="8" t="str">
        <f t="shared" si="25"/>
        <v>group_081</v>
      </c>
      <c r="J82" s="7">
        <v>0</v>
      </c>
    </row>
    <row r="83" spans="1:10" x14ac:dyDescent="0.15">
      <c r="A83" t="s">
        <v>147</v>
      </c>
      <c r="B83" s="7" t="s">
        <v>215</v>
      </c>
      <c r="C83" s="7">
        <v>0</v>
      </c>
      <c r="D83" s="9" t="s">
        <v>208</v>
      </c>
      <c r="E83" s="9" t="s">
        <v>130</v>
      </c>
      <c r="F83" s="6"/>
      <c r="I83" s="8" t="str">
        <f t="shared" si="25"/>
        <v>group_082</v>
      </c>
      <c r="J83" s="7">
        <v>0</v>
      </c>
    </row>
    <row r="84" spans="1:10" x14ac:dyDescent="0.15">
      <c r="A84" t="s">
        <v>167</v>
      </c>
      <c r="B84" s="7" t="s">
        <v>215</v>
      </c>
      <c r="C84" s="7">
        <v>2</v>
      </c>
      <c r="D84" s="9" t="s">
        <v>130</v>
      </c>
      <c r="E84" s="9" t="s">
        <v>210</v>
      </c>
      <c r="F84" s="6" t="s">
        <v>81</v>
      </c>
      <c r="G84" s="9" t="s">
        <v>131</v>
      </c>
      <c r="H84" s="9" t="s">
        <v>211</v>
      </c>
      <c r="I84" s="8" t="str">
        <f t="shared" si="25"/>
        <v>group_083</v>
      </c>
      <c r="J84" s="7">
        <v>0</v>
      </c>
    </row>
    <row r="85" spans="1:10" x14ac:dyDescent="0.15">
      <c r="A85" t="s">
        <v>168</v>
      </c>
      <c r="B85" s="7" t="s">
        <v>215</v>
      </c>
      <c r="C85" s="7">
        <v>0</v>
      </c>
      <c r="D85" s="9" t="s">
        <v>210</v>
      </c>
      <c r="E85" s="9" t="s">
        <v>77</v>
      </c>
      <c r="F85" s="6" t="s">
        <v>81</v>
      </c>
      <c r="G85" s="9" t="s">
        <v>131</v>
      </c>
      <c r="H85" s="9" t="s">
        <v>212</v>
      </c>
      <c r="I85" s="8" t="str">
        <f t="shared" si="25"/>
        <v>group_084</v>
      </c>
      <c r="J85" s="7">
        <v>0</v>
      </c>
    </row>
    <row r="86" spans="1:10" x14ac:dyDescent="0.15">
      <c r="A86" t="s">
        <v>169</v>
      </c>
      <c r="B86" s="7" t="s">
        <v>215</v>
      </c>
      <c r="C86" s="7">
        <v>0</v>
      </c>
      <c r="D86" s="9" t="s">
        <v>77</v>
      </c>
      <c r="E86" s="9" t="s">
        <v>65</v>
      </c>
      <c r="F86" s="6" t="s">
        <v>81</v>
      </c>
      <c r="G86" s="9" t="s">
        <v>131</v>
      </c>
      <c r="H86" s="9" t="s">
        <v>213</v>
      </c>
      <c r="I86" s="8" t="str">
        <f t="shared" si="25"/>
        <v>group_085</v>
      </c>
      <c r="J86" s="7">
        <v>0</v>
      </c>
    </row>
    <row r="87" spans="1:10" x14ac:dyDescent="0.15">
      <c r="A87" s="2" t="s">
        <v>223</v>
      </c>
      <c r="B87" t="s">
        <v>255</v>
      </c>
      <c r="C87" s="4">
        <v>0</v>
      </c>
      <c r="D87" s="9" t="s">
        <v>114</v>
      </c>
      <c r="E87" s="9" t="s">
        <v>170</v>
      </c>
      <c r="F87" s="9" t="s">
        <v>224</v>
      </c>
      <c r="G87" s="9" t="s">
        <v>59</v>
      </c>
      <c r="H87" s="9" t="s">
        <v>113</v>
      </c>
      <c r="I87" s="8" t="str">
        <f t="shared" ref="I87:I119" si="26">"group_"&amp;TEXT(ROW()-1,"000")</f>
        <v>group_086</v>
      </c>
      <c r="J87" s="7">
        <v>0</v>
      </c>
    </row>
    <row r="88" spans="1:10" x14ac:dyDescent="0.15">
      <c r="A88" s="2" t="s">
        <v>225</v>
      </c>
      <c r="B88" s="7" t="s">
        <v>255</v>
      </c>
      <c r="C88" s="7">
        <v>0</v>
      </c>
      <c r="D88" s="9" t="s">
        <v>170</v>
      </c>
      <c r="E88" s="9" t="s">
        <v>173</v>
      </c>
      <c r="F88" s="9" t="s">
        <v>78</v>
      </c>
      <c r="G88" s="9" t="s">
        <v>44</v>
      </c>
      <c r="H88" s="9" t="s">
        <v>116</v>
      </c>
      <c r="I88" s="8" t="str">
        <f t="shared" si="26"/>
        <v>group_087</v>
      </c>
      <c r="J88" s="7">
        <v>0</v>
      </c>
    </row>
    <row r="89" spans="1:10" x14ac:dyDescent="0.15">
      <c r="A89" s="2" t="s">
        <v>226</v>
      </c>
      <c r="B89" s="7" t="s">
        <v>255</v>
      </c>
      <c r="C89" s="7">
        <v>0</v>
      </c>
      <c r="D89" s="9" t="s">
        <v>173</v>
      </c>
      <c r="E89" s="9" t="s">
        <v>68</v>
      </c>
      <c r="F89" s="9" t="s">
        <v>115</v>
      </c>
      <c r="G89" s="9" t="s">
        <v>45</v>
      </c>
      <c r="H89" s="9" t="s">
        <v>227</v>
      </c>
      <c r="I89" s="8" t="str">
        <f t="shared" si="26"/>
        <v>group_088</v>
      </c>
      <c r="J89" s="7">
        <v>0</v>
      </c>
    </row>
    <row r="90" spans="1:10" x14ac:dyDescent="0.15">
      <c r="A90" s="2" t="s">
        <v>228</v>
      </c>
      <c r="B90" s="7" t="s">
        <v>255</v>
      </c>
      <c r="C90" s="7">
        <v>0</v>
      </c>
      <c r="D90" s="9" t="s">
        <v>68</v>
      </c>
      <c r="E90" s="9" t="s">
        <v>175</v>
      </c>
      <c r="F90" s="9" t="s">
        <v>172</v>
      </c>
      <c r="G90" s="9" t="s">
        <v>176</v>
      </c>
      <c r="H90" s="9" t="s">
        <v>229</v>
      </c>
      <c r="I90" s="8" t="str">
        <f t="shared" si="26"/>
        <v>group_089</v>
      </c>
      <c r="J90" s="7">
        <v>0</v>
      </c>
    </row>
    <row r="91" spans="1:10" x14ac:dyDescent="0.15">
      <c r="A91" s="2" t="s">
        <v>147</v>
      </c>
      <c r="B91" s="7" t="s">
        <v>255</v>
      </c>
      <c r="C91" s="7">
        <v>0</v>
      </c>
      <c r="D91" s="9" t="s">
        <v>175</v>
      </c>
      <c r="E91" s="9" t="s">
        <v>59</v>
      </c>
      <c r="I91" s="8" t="str">
        <f t="shared" si="26"/>
        <v>group_090</v>
      </c>
      <c r="J91" s="7">
        <v>0</v>
      </c>
    </row>
    <row r="92" spans="1:10" x14ac:dyDescent="0.15">
      <c r="A92" s="2" t="s">
        <v>230</v>
      </c>
      <c r="B92" s="7" t="s">
        <v>255</v>
      </c>
      <c r="C92" s="7">
        <v>0</v>
      </c>
      <c r="D92" s="9" t="s">
        <v>59</v>
      </c>
      <c r="E92" s="9" t="s">
        <v>44</v>
      </c>
      <c r="F92" s="9" t="s">
        <v>60</v>
      </c>
      <c r="G92" s="9" t="s">
        <v>69</v>
      </c>
      <c r="H92" s="9" t="s">
        <v>113</v>
      </c>
      <c r="I92" s="8" t="str">
        <f t="shared" si="26"/>
        <v>group_091</v>
      </c>
      <c r="J92" s="7">
        <v>0</v>
      </c>
    </row>
    <row r="93" spans="1:10" x14ac:dyDescent="0.15">
      <c r="A93" s="2" t="s">
        <v>231</v>
      </c>
      <c r="B93" s="7" t="s">
        <v>255</v>
      </c>
      <c r="C93" s="7">
        <v>0</v>
      </c>
      <c r="D93" s="9" t="s">
        <v>44</v>
      </c>
      <c r="E93" s="9" t="s">
        <v>179</v>
      </c>
      <c r="F93" s="9" t="s">
        <v>45</v>
      </c>
      <c r="G93" s="9" t="s">
        <v>183</v>
      </c>
      <c r="H93" s="9" t="s">
        <v>116</v>
      </c>
      <c r="I93" s="8" t="str">
        <f t="shared" si="26"/>
        <v>group_092</v>
      </c>
      <c r="J93" s="7">
        <v>0</v>
      </c>
    </row>
    <row r="94" spans="1:10" x14ac:dyDescent="0.15">
      <c r="A94" s="2" t="s">
        <v>232</v>
      </c>
      <c r="B94" s="7" t="s">
        <v>255</v>
      </c>
      <c r="C94" s="7">
        <v>0</v>
      </c>
      <c r="D94" s="9" t="s">
        <v>179</v>
      </c>
      <c r="E94" s="9" t="s">
        <v>121</v>
      </c>
      <c r="F94" s="9" t="s">
        <v>46</v>
      </c>
      <c r="G94" s="9" t="s">
        <v>61</v>
      </c>
      <c r="H94" s="9" t="s">
        <v>227</v>
      </c>
      <c r="I94" s="8" t="str">
        <f t="shared" si="26"/>
        <v>group_093</v>
      </c>
      <c r="J94" s="7">
        <v>0</v>
      </c>
    </row>
    <row r="95" spans="1:10" x14ac:dyDescent="0.15">
      <c r="A95" s="2" t="s">
        <v>233</v>
      </c>
      <c r="B95" s="7" t="s">
        <v>255</v>
      </c>
      <c r="C95" s="7">
        <v>0</v>
      </c>
      <c r="D95" s="9" t="s">
        <v>121</v>
      </c>
      <c r="E95" s="9" t="s">
        <v>181</v>
      </c>
      <c r="F95" s="9" t="s">
        <v>178</v>
      </c>
      <c r="G95" s="9" t="s">
        <v>182</v>
      </c>
      <c r="H95" s="9" t="s">
        <v>229</v>
      </c>
      <c r="I95" s="8" t="str">
        <f t="shared" si="26"/>
        <v>group_094</v>
      </c>
      <c r="J95" s="7">
        <v>0</v>
      </c>
    </row>
    <row r="96" spans="1:10" x14ac:dyDescent="0.15">
      <c r="A96" s="2" t="s">
        <v>147</v>
      </c>
      <c r="B96" s="7" t="s">
        <v>255</v>
      </c>
      <c r="C96" s="7">
        <v>0</v>
      </c>
      <c r="D96" s="9" t="s">
        <v>181</v>
      </c>
      <c r="E96" s="9" t="s">
        <v>69</v>
      </c>
      <c r="I96" s="8" t="str">
        <f t="shared" si="26"/>
        <v>group_095</v>
      </c>
      <c r="J96" s="7">
        <v>0</v>
      </c>
    </row>
    <row r="97" spans="1:10" x14ac:dyDescent="0.15">
      <c r="A97" s="2" t="s">
        <v>234</v>
      </c>
      <c r="B97" s="7" t="s">
        <v>255</v>
      </c>
      <c r="C97" s="7">
        <v>0</v>
      </c>
      <c r="D97" s="9" t="s">
        <v>69</v>
      </c>
      <c r="E97" s="9" t="s">
        <v>183</v>
      </c>
      <c r="F97" s="9" t="s">
        <v>70</v>
      </c>
      <c r="G97" s="9" t="s">
        <v>72</v>
      </c>
      <c r="H97" s="9" t="s">
        <v>113</v>
      </c>
      <c r="I97" s="8" t="str">
        <f t="shared" si="26"/>
        <v>group_096</v>
      </c>
      <c r="J97" s="7">
        <v>0</v>
      </c>
    </row>
    <row r="98" spans="1:10" x14ac:dyDescent="0.15">
      <c r="A98" s="2" t="s">
        <v>235</v>
      </c>
      <c r="B98" s="7" t="s">
        <v>255</v>
      </c>
      <c r="C98" s="7">
        <v>0</v>
      </c>
      <c r="D98" s="9" t="s">
        <v>183</v>
      </c>
      <c r="E98" s="9" t="s">
        <v>186</v>
      </c>
      <c r="F98" s="9" t="s">
        <v>61</v>
      </c>
      <c r="G98" s="9" t="s">
        <v>190</v>
      </c>
      <c r="H98" s="9" t="s">
        <v>116</v>
      </c>
      <c r="I98" s="8" t="str">
        <f t="shared" si="26"/>
        <v>group_097</v>
      </c>
      <c r="J98" s="7">
        <v>0</v>
      </c>
    </row>
    <row r="99" spans="1:10" x14ac:dyDescent="0.15">
      <c r="A99" s="2" t="s">
        <v>236</v>
      </c>
      <c r="B99" s="7" t="s">
        <v>255</v>
      </c>
      <c r="C99" s="7">
        <v>0</v>
      </c>
      <c r="D99" s="9" t="s">
        <v>186</v>
      </c>
      <c r="E99" s="9" t="s">
        <v>124</v>
      </c>
      <c r="F99" s="9" t="s">
        <v>62</v>
      </c>
      <c r="G99" s="9" t="s">
        <v>187</v>
      </c>
      <c r="H99" s="9" t="s">
        <v>227</v>
      </c>
      <c r="I99" s="8" t="str">
        <f t="shared" si="26"/>
        <v>group_098</v>
      </c>
      <c r="J99" s="7">
        <v>0</v>
      </c>
    </row>
    <row r="100" spans="1:10" x14ac:dyDescent="0.15">
      <c r="A100" s="2" t="s">
        <v>237</v>
      </c>
      <c r="B100" s="7" t="s">
        <v>255</v>
      </c>
      <c r="C100" s="7">
        <v>0</v>
      </c>
      <c r="D100" s="9" t="s">
        <v>124</v>
      </c>
      <c r="E100" s="9" t="s">
        <v>188</v>
      </c>
      <c r="F100" s="9" t="s">
        <v>185</v>
      </c>
      <c r="G100" s="9" t="s">
        <v>189</v>
      </c>
      <c r="H100" s="9" t="s">
        <v>229</v>
      </c>
      <c r="I100" s="8" t="str">
        <f t="shared" si="26"/>
        <v>group_099</v>
      </c>
      <c r="J100" s="7">
        <v>0</v>
      </c>
    </row>
    <row r="101" spans="1:10" x14ac:dyDescent="0.15">
      <c r="A101" s="2" t="s">
        <v>147</v>
      </c>
      <c r="B101" s="7" t="s">
        <v>255</v>
      </c>
      <c r="C101" s="7">
        <v>0</v>
      </c>
      <c r="D101" s="9" t="s">
        <v>188</v>
      </c>
      <c r="E101" s="9" t="s">
        <v>72</v>
      </c>
      <c r="I101" s="8" t="str">
        <f t="shared" si="26"/>
        <v>group_100</v>
      </c>
      <c r="J101" s="7">
        <v>0</v>
      </c>
    </row>
    <row r="102" spans="1:10" x14ac:dyDescent="0.15">
      <c r="A102" s="2" t="s">
        <v>238</v>
      </c>
      <c r="B102" s="7" t="s">
        <v>255</v>
      </c>
      <c r="C102" s="7">
        <v>0</v>
      </c>
      <c r="D102" s="9" t="s">
        <v>72</v>
      </c>
      <c r="E102" s="9" t="s">
        <v>190</v>
      </c>
      <c r="F102" s="9" t="s">
        <v>73</v>
      </c>
      <c r="G102" s="9" t="s">
        <v>79</v>
      </c>
      <c r="H102" s="9" t="s">
        <v>113</v>
      </c>
      <c r="I102" s="8" t="str">
        <f t="shared" si="26"/>
        <v>group_101</v>
      </c>
      <c r="J102" s="7">
        <v>0</v>
      </c>
    </row>
    <row r="103" spans="1:10" x14ac:dyDescent="0.15">
      <c r="A103" s="2" t="s">
        <v>239</v>
      </c>
      <c r="B103" s="7" t="s">
        <v>255</v>
      </c>
      <c r="C103" s="7">
        <v>0</v>
      </c>
      <c r="D103" s="9" t="s">
        <v>190</v>
      </c>
      <c r="E103" s="9" t="s">
        <v>193</v>
      </c>
      <c r="F103" s="9" t="s">
        <v>187</v>
      </c>
      <c r="G103" s="9" t="s">
        <v>197</v>
      </c>
      <c r="H103" s="9" t="s">
        <v>116</v>
      </c>
      <c r="I103" s="8" t="str">
        <f t="shared" si="26"/>
        <v>group_102</v>
      </c>
      <c r="J103" s="7">
        <v>0</v>
      </c>
    </row>
    <row r="104" spans="1:10" x14ac:dyDescent="0.15">
      <c r="A104" s="2" t="s">
        <v>240</v>
      </c>
      <c r="B104" s="7" t="s">
        <v>255</v>
      </c>
      <c r="C104" s="7">
        <v>0</v>
      </c>
      <c r="D104" s="9" t="s">
        <v>193</v>
      </c>
      <c r="E104" s="9" t="s">
        <v>126</v>
      </c>
      <c r="F104" s="9" t="s">
        <v>47</v>
      </c>
      <c r="G104" s="9" t="s">
        <v>195</v>
      </c>
      <c r="H104" s="9" t="s">
        <v>227</v>
      </c>
      <c r="I104" s="8" t="str">
        <f t="shared" si="26"/>
        <v>group_103</v>
      </c>
      <c r="J104" s="7">
        <v>0</v>
      </c>
    </row>
    <row r="105" spans="1:10" x14ac:dyDescent="0.15">
      <c r="A105" s="2" t="s">
        <v>241</v>
      </c>
      <c r="B105" s="7" t="s">
        <v>255</v>
      </c>
      <c r="C105" s="7">
        <v>0</v>
      </c>
      <c r="D105" s="9" t="s">
        <v>126</v>
      </c>
      <c r="E105" s="9" t="s">
        <v>196</v>
      </c>
      <c r="F105" s="9" t="s">
        <v>192</v>
      </c>
      <c r="G105" s="9" t="s">
        <v>51</v>
      </c>
      <c r="H105" s="9" t="s">
        <v>229</v>
      </c>
      <c r="I105" s="8" t="str">
        <f t="shared" si="26"/>
        <v>group_104</v>
      </c>
      <c r="J105" s="7">
        <v>0</v>
      </c>
    </row>
    <row r="106" spans="1:10" x14ac:dyDescent="0.15">
      <c r="A106" s="2" t="s">
        <v>147</v>
      </c>
      <c r="B106" s="7" t="s">
        <v>255</v>
      </c>
      <c r="C106" s="7">
        <v>0</v>
      </c>
      <c r="D106" s="9" t="s">
        <v>196</v>
      </c>
      <c r="E106" s="9" t="s">
        <v>79</v>
      </c>
      <c r="I106" s="8" t="str">
        <f t="shared" si="26"/>
        <v>group_105</v>
      </c>
      <c r="J106" s="7">
        <v>0</v>
      </c>
    </row>
    <row r="107" spans="1:10" x14ac:dyDescent="0.15">
      <c r="A107" s="2" t="s">
        <v>242</v>
      </c>
      <c r="B107" s="7" t="s">
        <v>255</v>
      </c>
      <c r="C107" s="7">
        <v>0</v>
      </c>
      <c r="D107" s="9" t="s">
        <v>79</v>
      </c>
      <c r="E107" s="9" t="s">
        <v>197</v>
      </c>
      <c r="F107" s="9" t="s">
        <v>194</v>
      </c>
      <c r="G107" s="9" t="s">
        <v>202</v>
      </c>
      <c r="H107" s="9" t="s">
        <v>113</v>
      </c>
      <c r="I107" s="8" t="str">
        <f t="shared" si="26"/>
        <v>group_106</v>
      </c>
      <c r="J107" s="7">
        <v>0</v>
      </c>
    </row>
    <row r="108" spans="1:10" x14ac:dyDescent="0.15">
      <c r="A108" s="2" t="s">
        <v>243</v>
      </c>
      <c r="B108" s="7" t="s">
        <v>255</v>
      </c>
      <c r="C108" s="7">
        <v>0</v>
      </c>
      <c r="D108" s="9" t="s">
        <v>197</v>
      </c>
      <c r="E108" s="9" t="s">
        <v>64</v>
      </c>
      <c r="F108" s="9" t="s">
        <v>195</v>
      </c>
      <c r="G108" s="9" t="s">
        <v>129</v>
      </c>
      <c r="H108" s="9" t="s">
        <v>116</v>
      </c>
      <c r="I108" s="8" t="str">
        <f t="shared" si="26"/>
        <v>group_107</v>
      </c>
      <c r="J108" s="7">
        <v>0</v>
      </c>
    </row>
    <row r="109" spans="1:10" x14ac:dyDescent="0.15">
      <c r="A109" s="2" t="s">
        <v>244</v>
      </c>
      <c r="B109" s="7" t="s">
        <v>255</v>
      </c>
      <c r="C109" s="7">
        <v>0</v>
      </c>
      <c r="D109" s="9" t="s">
        <v>64</v>
      </c>
      <c r="E109" s="9" t="s">
        <v>50</v>
      </c>
      <c r="F109" s="9" t="s">
        <v>200</v>
      </c>
      <c r="G109" s="9" t="s">
        <v>201</v>
      </c>
      <c r="H109" s="9" t="s">
        <v>227</v>
      </c>
      <c r="I109" s="8" t="str">
        <f t="shared" si="26"/>
        <v>group_108</v>
      </c>
      <c r="J109" s="7">
        <v>0</v>
      </c>
    </row>
    <row r="110" spans="1:10" x14ac:dyDescent="0.15">
      <c r="A110" s="2" t="s">
        <v>245</v>
      </c>
      <c r="B110" s="7" t="s">
        <v>255</v>
      </c>
      <c r="C110" s="7">
        <v>0</v>
      </c>
      <c r="D110" s="9" t="s">
        <v>50</v>
      </c>
      <c r="E110" s="9" t="s">
        <v>128</v>
      </c>
      <c r="F110" s="9" t="s">
        <v>52</v>
      </c>
      <c r="G110" s="9" t="s">
        <v>55</v>
      </c>
      <c r="H110" s="9" t="s">
        <v>229</v>
      </c>
      <c r="I110" s="8" t="str">
        <f t="shared" si="26"/>
        <v>group_109</v>
      </c>
      <c r="J110" s="7">
        <v>0</v>
      </c>
    </row>
    <row r="111" spans="1:10" x14ac:dyDescent="0.15">
      <c r="A111" s="2" t="s">
        <v>147</v>
      </c>
      <c r="B111" s="7" t="s">
        <v>255</v>
      </c>
      <c r="C111" s="7">
        <v>0</v>
      </c>
      <c r="D111" s="9" t="s">
        <v>128</v>
      </c>
      <c r="E111" s="9" t="s">
        <v>202</v>
      </c>
      <c r="I111" s="8" t="str">
        <f t="shared" si="26"/>
        <v>group_110</v>
      </c>
      <c r="J111" s="7">
        <v>0</v>
      </c>
    </row>
    <row r="112" spans="1:10" x14ac:dyDescent="0.15">
      <c r="A112" s="2" t="s">
        <v>246</v>
      </c>
      <c r="B112" s="7" t="s">
        <v>255</v>
      </c>
      <c r="C112" s="7">
        <v>0</v>
      </c>
      <c r="D112" s="9" t="s">
        <v>202</v>
      </c>
      <c r="E112" s="9" t="s">
        <v>129</v>
      </c>
      <c r="F112" s="9" t="s">
        <v>199</v>
      </c>
      <c r="G112" s="9" t="s">
        <v>130</v>
      </c>
      <c r="H112" s="9" t="s">
        <v>113</v>
      </c>
      <c r="I112" s="8" t="str">
        <f t="shared" si="26"/>
        <v>group_111</v>
      </c>
      <c r="J112" s="7">
        <v>0</v>
      </c>
    </row>
    <row r="113" spans="1:10" x14ac:dyDescent="0.15">
      <c r="A113" s="2" t="s">
        <v>247</v>
      </c>
      <c r="B113" s="7" t="s">
        <v>255</v>
      </c>
      <c r="C113" s="7">
        <v>0</v>
      </c>
      <c r="D113" s="9" t="s">
        <v>129</v>
      </c>
      <c r="E113" s="9" t="s">
        <v>76</v>
      </c>
      <c r="F113" s="9" t="s">
        <v>201</v>
      </c>
      <c r="G113" s="9" t="s">
        <v>210</v>
      </c>
      <c r="H113" s="9" t="s">
        <v>116</v>
      </c>
      <c r="I113" s="8" t="str">
        <f t="shared" si="26"/>
        <v>group_112</v>
      </c>
      <c r="J113" s="7">
        <v>0</v>
      </c>
    </row>
    <row r="114" spans="1:10" x14ac:dyDescent="0.15">
      <c r="A114" s="2" t="s">
        <v>248</v>
      </c>
      <c r="B114" s="7" t="s">
        <v>255</v>
      </c>
      <c r="C114" s="7">
        <v>0</v>
      </c>
      <c r="D114" s="9" t="s">
        <v>76</v>
      </c>
      <c r="E114" s="9" t="s">
        <v>205</v>
      </c>
      <c r="F114" s="9" t="s">
        <v>206</v>
      </c>
      <c r="G114" s="9" t="s">
        <v>207</v>
      </c>
      <c r="H114" s="9" t="s">
        <v>227</v>
      </c>
      <c r="I114" s="8" t="str">
        <f t="shared" si="26"/>
        <v>group_113</v>
      </c>
      <c r="J114" s="7">
        <v>0</v>
      </c>
    </row>
    <row r="115" spans="1:10" x14ac:dyDescent="0.15">
      <c r="A115" s="2" t="s">
        <v>249</v>
      </c>
      <c r="B115" s="7" t="s">
        <v>255</v>
      </c>
      <c r="C115" s="7">
        <v>0</v>
      </c>
      <c r="D115" s="9" t="s">
        <v>205</v>
      </c>
      <c r="E115" s="9" t="s">
        <v>208</v>
      </c>
      <c r="F115" s="9" t="s">
        <v>56</v>
      </c>
      <c r="G115" s="9" t="s">
        <v>209</v>
      </c>
      <c r="H115" s="9" t="s">
        <v>229</v>
      </c>
      <c r="I115" s="8" t="str">
        <f t="shared" si="26"/>
        <v>group_114</v>
      </c>
      <c r="J115" s="7">
        <v>0</v>
      </c>
    </row>
    <row r="116" spans="1:10" x14ac:dyDescent="0.15">
      <c r="A116" s="2" t="s">
        <v>147</v>
      </c>
      <c r="B116" s="7" t="s">
        <v>255</v>
      </c>
      <c r="C116" s="7">
        <v>0</v>
      </c>
      <c r="D116" s="9" t="s">
        <v>208</v>
      </c>
      <c r="E116" s="9" t="s">
        <v>130</v>
      </c>
      <c r="I116" s="8" t="str">
        <f t="shared" si="26"/>
        <v>group_115</v>
      </c>
      <c r="J116" s="7">
        <v>0</v>
      </c>
    </row>
    <row r="117" spans="1:10" x14ac:dyDescent="0.15">
      <c r="A117" s="2" t="s">
        <v>250</v>
      </c>
      <c r="B117" s="7" t="s">
        <v>255</v>
      </c>
      <c r="C117" s="7">
        <v>0</v>
      </c>
      <c r="D117" s="9" t="s">
        <v>130</v>
      </c>
      <c r="E117" s="9" t="s">
        <v>210</v>
      </c>
      <c r="F117" s="9" t="s">
        <v>204</v>
      </c>
      <c r="G117" s="9" t="s">
        <v>251</v>
      </c>
      <c r="H117" s="9" t="s">
        <v>113</v>
      </c>
      <c r="I117" s="8" t="str">
        <f t="shared" si="26"/>
        <v>group_116</v>
      </c>
      <c r="J117" s="7">
        <v>0</v>
      </c>
    </row>
    <row r="118" spans="1:10" x14ac:dyDescent="0.15">
      <c r="A118" s="2" t="s">
        <v>252</v>
      </c>
      <c r="B118" s="7" t="s">
        <v>255</v>
      </c>
      <c r="C118" s="7">
        <v>0</v>
      </c>
      <c r="D118" s="9" t="s">
        <v>210</v>
      </c>
      <c r="E118" s="9" t="s">
        <v>77</v>
      </c>
      <c r="F118" s="9" t="s">
        <v>207</v>
      </c>
      <c r="G118" s="9" t="s">
        <v>253</v>
      </c>
      <c r="H118" s="9" t="s">
        <v>116</v>
      </c>
      <c r="I118" s="8" t="str">
        <f t="shared" si="26"/>
        <v>group_117</v>
      </c>
      <c r="J118" s="7">
        <v>0</v>
      </c>
    </row>
    <row r="119" spans="1:10" x14ac:dyDescent="0.15">
      <c r="A119" s="2" t="s">
        <v>254</v>
      </c>
      <c r="B119" s="7" t="s">
        <v>255</v>
      </c>
      <c r="C119" s="7">
        <v>0</v>
      </c>
      <c r="D119" s="9" t="s">
        <v>77</v>
      </c>
      <c r="E119" s="9" t="s">
        <v>65</v>
      </c>
      <c r="F119" s="9" t="s">
        <v>81</v>
      </c>
      <c r="G119" s="9" t="s">
        <v>131</v>
      </c>
      <c r="H119" s="9" t="s">
        <v>227</v>
      </c>
      <c r="I119" s="8" t="str">
        <f t="shared" si="26"/>
        <v>group_118</v>
      </c>
      <c r="J119" s="7">
        <v>0</v>
      </c>
    </row>
    <row r="120" spans="1:10" x14ac:dyDescent="0.15">
      <c r="B120" s="2"/>
    </row>
    <row r="121" spans="1:10" x14ac:dyDescent="0.15">
      <c r="B121" s="2"/>
    </row>
    <row r="122" spans="1:10" x14ac:dyDescent="0.15">
      <c r="B122" s="2"/>
    </row>
    <row r="123" spans="1:10" x14ac:dyDescent="0.15">
      <c r="B123" s="2"/>
    </row>
    <row r="124" spans="1:10" x14ac:dyDescent="0.15">
      <c r="B124" s="2"/>
    </row>
    <row r="125" spans="1:10" x14ac:dyDescent="0.15">
      <c r="B125" s="2"/>
    </row>
    <row r="126" spans="1:10" x14ac:dyDescent="0.15">
      <c r="B126" s="2"/>
    </row>
    <row r="127" spans="1:10" x14ac:dyDescent="0.15">
      <c r="B127" s="2"/>
    </row>
    <row r="128" spans="1:10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  <row r="141" spans="2:2" x14ac:dyDescent="0.15">
      <c r="B141" s="2"/>
    </row>
    <row r="142" spans="2:2" x14ac:dyDescent="0.15">
      <c r="B142" s="2"/>
    </row>
    <row r="143" spans="2:2" x14ac:dyDescent="0.15">
      <c r="B143" s="2"/>
    </row>
    <row r="144" spans="2:2" x14ac:dyDescent="0.15">
      <c r="B144" s="2"/>
    </row>
  </sheetData>
  <sortState ref="A2:F119">
    <sortCondition ref="B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2"/>
  <sheetViews>
    <sheetView workbookViewId="0">
      <selection activeCell="C15" sqref="C15"/>
    </sheetView>
  </sheetViews>
  <sheetFormatPr defaultRowHeight="13.5" x14ac:dyDescent="0.15"/>
  <cols>
    <col min="1" max="1" width="10.5"/>
    <col min="2" max="2" width="14.25" bestFit="1" customWidth="1"/>
    <col min="3" max="3" width="14.25" style="3" customWidth="1"/>
    <col min="4" max="7" width="10.5"/>
  </cols>
  <sheetData>
    <row r="1" spans="1:7" x14ac:dyDescent="0.15">
      <c r="A1" s="4" t="s">
        <v>82</v>
      </c>
      <c r="B1" s="4" t="s">
        <v>28</v>
      </c>
      <c r="C1" s="4" t="s">
        <v>33</v>
      </c>
      <c r="D1" s="4" t="s">
        <v>29</v>
      </c>
      <c r="E1" t="s">
        <v>30</v>
      </c>
      <c r="F1" t="s">
        <v>31</v>
      </c>
      <c r="G1" t="s">
        <v>32</v>
      </c>
    </row>
    <row r="2" spans="1:7" x14ac:dyDescent="0.15">
      <c r="A2" s="4" t="s">
        <v>104</v>
      </c>
      <c r="B2" s="4" t="s">
        <v>106</v>
      </c>
      <c r="C2" s="4"/>
      <c r="D2" s="5" t="s">
        <v>271</v>
      </c>
      <c r="E2">
        <f>ROUNDDOWN(HEX2DEC(RIGHT($D2,6))/65536,0)</f>
        <v>0</v>
      </c>
      <c r="F2">
        <f>((HEX2DEC(RIGHT($D2,6))-G2-E2*65536)/256)</f>
        <v>0</v>
      </c>
      <c r="G2">
        <f>MOD(HEX2DEC(RIGHT($D2,6)),256)</f>
        <v>255</v>
      </c>
    </row>
    <row r="3" spans="1:7" s="7" customFormat="1" x14ac:dyDescent="0.15">
      <c r="D3" s="5"/>
    </row>
    <row r="4" spans="1:7" s="7" customFormat="1" x14ac:dyDescent="0.15">
      <c r="A4" s="7" t="s">
        <v>267</v>
      </c>
      <c r="B4" s="7" t="s">
        <v>264</v>
      </c>
      <c r="D4" s="5" t="s">
        <v>270</v>
      </c>
      <c r="E4" s="7">
        <f t="shared" ref="E4:E6" si="0">ROUNDDOWN(HEX2DEC(RIGHT($D4,6))/65536,0)</f>
        <v>0</v>
      </c>
      <c r="F4" s="7">
        <f t="shared" ref="F4:F6" si="1">((HEX2DEC(RIGHT($D4,6))-G4-E4*65536)/256)</f>
        <v>255</v>
      </c>
      <c r="G4" s="7">
        <f t="shared" ref="G4:G6" si="2">MOD(HEX2DEC(RIGHT($D4,6)),256)</f>
        <v>0</v>
      </c>
    </row>
    <row r="5" spans="1:7" s="7" customFormat="1" x14ac:dyDescent="0.15">
      <c r="A5" s="7" t="s">
        <v>268</v>
      </c>
      <c r="B5" s="7" t="s">
        <v>265</v>
      </c>
      <c r="D5" s="5" t="s">
        <v>271</v>
      </c>
      <c r="E5" s="7">
        <f t="shared" si="0"/>
        <v>0</v>
      </c>
      <c r="F5" s="7">
        <f t="shared" si="1"/>
        <v>0</v>
      </c>
      <c r="G5" s="7">
        <f t="shared" si="2"/>
        <v>255</v>
      </c>
    </row>
    <row r="6" spans="1:7" s="7" customFormat="1" x14ac:dyDescent="0.15">
      <c r="A6" s="7" t="s">
        <v>269</v>
      </c>
      <c r="B6" s="7" t="s">
        <v>266</v>
      </c>
      <c r="D6" s="5" t="s">
        <v>272</v>
      </c>
      <c r="E6" s="7">
        <f t="shared" si="0"/>
        <v>255</v>
      </c>
      <c r="F6" s="7">
        <f t="shared" si="1"/>
        <v>255</v>
      </c>
      <c r="G6" s="7">
        <f t="shared" si="2"/>
        <v>0</v>
      </c>
    </row>
    <row r="7" spans="1:7" s="7" customFormat="1" x14ac:dyDescent="0.15">
      <c r="A7" s="7" t="s">
        <v>220</v>
      </c>
      <c r="B7" s="7" t="s">
        <v>219</v>
      </c>
      <c r="D7" s="7" t="s">
        <v>221</v>
      </c>
      <c r="E7" s="7">
        <f>ROUNDDOWN(HEX2DEC(RIGHT($D7,6))/65536,0)</f>
        <v>0</v>
      </c>
      <c r="F7" s="7">
        <f>((HEX2DEC(RIGHT($D7,6))-G7-E7*65536)/256)</f>
        <v>0</v>
      </c>
      <c r="G7" s="7">
        <f>MOD(HEX2DEC(RIGHT($D7,6)),256)</f>
        <v>255</v>
      </c>
    </row>
    <row r="8" spans="1:7" s="7" customFormat="1" x14ac:dyDescent="0.15">
      <c r="D8" s="5"/>
    </row>
    <row r="9" spans="1:7" x14ac:dyDescent="0.15">
      <c r="A9" s="4" t="s">
        <v>215</v>
      </c>
      <c r="B9" s="4" t="s">
        <v>216</v>
      </c>
      <c r="C9" s="4"/>
      <c r="D9" s="4" t="s">
        <v>217</v>
      </c>
      <c r="E9" s="7">
        <f>ROUNDDOWN(HEX2DEC(RIGHT($D9,6))/65536,0)</f>
        <v>0</v>
      </c>
      <c r="F9" s="7">
        <f>((HEX2DEC(RIGHT($D9,6))-G9-E9*65536)/256)</f>
        <v>255</v>
      </c>
      <c r="G9" s="7">
        <f>MOD(HEX2DEC(RIGHT($D9,6)),256)</f>
        <v>0</v>
      </c>
    </row>
    <row r="10" spans="1:7" x14ac:dyDescent="0.15">
      <c r="A10" s="4" t="s">
        <v>220</v>
      </c>
      <c r="B10" s="4" t="s">
        <v>219</v>
      </c>
      <c r="C10" s="4"/>
      <c r="D10" s="4" t="s">
        <v>221</v>
      </c>
      <c r="E10" s="7">
        <f>ROUNDDOWN(HEX2DEC(RIGHT($D10,6))/65536,0)</f>
        <v>0</v>
      </c>
      <c r="F10" s="7">
        <f>((HEX2DEC(RIGHT($D10,6))-G10-E10*65536)/256)</f>
        <v>0</v>
      </c>
      <c r="G10" s="7">
        <f>MOD(HEX2DEC(RIGHT($D10,6)),256)</f>
        <v>255</v>
      </c>
    </row>
    <row r="11" spans="1:7" x14ac:dyDescent="0.15">
      <c r="A11" s="4"/>
      <c r="B11" s="4"/>
      <c r="C11" s="4"/>
      <c r="D11" s="4"/>
    </row>
    <row r="12" spans="1:7" x14ac:dyDescent="0.15">
      <c r="A12" s="4"/>
      <c r="B12" s="4"/>
      <c r="C12" s="4"/>
      <c r="D12" s="4"/>
      <c r="E12" s="4"/>
      <c r="F12" s="4"/>
      <c r="G12" s="4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tabSelected="1" topLeftCell="A46" zoomScaleNormal="100" workbookViewId="0">
      <selection activeCell="K35" sqref="K35"/>
    </sheetView>
  </sheetViews>
  <sheetFormatPr defaultRowHeight="13.5" x14ac:dyDescent="0.15"/>
  <sheetData/>
  <phoneticPr fontId="1"/>
  <pageMargins left="0.196850393700787" right="0.70866141732283505" top="0.15748031496063" bottom="0.15748031496063" header="0.31496062992126" footer="0.31496062992126"/>
  <pageSetup paperSize="9" orientation="portrait" cellComments="atEnd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config</vt:lpstr>
      <vt:lpstr>tblbackup</vt:lpstr>
      <vt:lpstr>tbl</vt:lpstr>
      <vt:lpstr>stg</vt:lpstr>
      <vt:lpstr>Sheet14</vt:lpstr>
      <vt:lpstr>timetable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ああ</dc:creator>
  <cp:lastModifiedBy>ああ</cp:lastModifiedBy>
  <cp:lastPrinted>2024-10-03T19:03:42Z</cp:lastPrinted>
  <dcterms:created xsi:type="dcterms:W3CDTF">2024-08-20T14:21:49Z</dcterms:created>
  <dcterms:modified xsi:type="dcterms:W3CDTF">2024-10-03T19:03:48Z</dcterms:modified>
</cp:coreProperties>
</file>