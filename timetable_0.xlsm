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6050" windowHeight="7830" firstSheet="1" activeTab="8"/>
  </bookViews>
  <sheets>
    <sheet name="Sheet1" sheetId="5" r:id="rId1"/>
    <sheet name="stg_config" sheetId="6" r:id="rId2"/>
    <sheet name="sp_config" sheetId="196" r:id="rId3"/>
    <sheet name="maketbl" sheetId="197" r:id="rId4"/>
    <sheet name="stg_schedule" sheetId="7" r:id="rId5"/>
    <sheet name="stg_place" sheetId="8" r:id="rId6"/>
    <sheet name="sp_place" sheetId="199" r:id="rId7"/>
    <sheet name="sp_schedule" sheetId="230" r:id="rId8"/>
    <sheet name="stg_table" sheetId="231" r:id="rId9"/>
    <sheet name="sp_table" sheetId="232" r:id="rId10"/>
  </sheets>
  <functionGroups builtInGroupCount="17"/>
  <calcPr calcId="144525"/>
</workbook>
</file>

<file path=xl/calcChain.xml><?xml version="1.0" encoding="utf-8"?>
<calcChain xmlns="http://schemas.openxmlformats.org/spreadsheetml/2006/main">
  <c r="G5" i="199" l="1"/>
  <c r="E5" i="199"/>
  <c r="F5" i="199" s="1"/>
  <c r="G4" i="199"/>
  <c r="E4" i="199"/>
  <c r="F4" i="199" s="1"/>
  <c r="G3" i="199"/>
  <c r="F3" i="199" s="1"/>
  <c r="E3" i="199"/>
  <c r="G2" i="199"/>
  <c r="F2" i="199" s="1"/>
  <c r="E2" i="199"/>
  <c r="E5" i="8"/>
  <c r="G5" i="8"/>
  <c r="F5" i="8" s="1"/>
  <c r="E3" i="8"/>
  <c r="G3" i="8"/>
  <c r="F3" i="8" s="1"/>
  <c r="E4" i="8"/>
  <c r="G4" i="8"/>
  <c r="F4" i="8" s="1"/>
  <c r="C2" i="197" l="1"/>
  <c r="D2" i="197"/>
  <c r="E2" i="197"/>
  <c r="C3" i="197"/>
  <c r="D3" i="197"/>
  <c r="E3" i="197"/>
  <c r="B3" i="197"/>
  <c r="B2" i="197"/>
  <c r="G2" i="8" l="1"/>
  <c r="E2" i="8"/>
  <c r="F2" i="8" s="1"/>
</calcChain>
</file>

<file path=xl/sharedStrings.xml><?xml version="1.0" encoding="utf-8"?>
<sst xmlns="http://schemas.openxmlformats.org/spreadsheetml/2006/main" count="270" uniqueCount="134">
  <si>
    <t>INUWASI</t>
  </si>
  <si>
    <t>FES☆TIVE</t>
  </si>
  <si>
    <t>tbl_start</t>
  </si>
  <si>
    <t>tbl_end</t>
  </si>
  <si>
    <t>square_time</t>
  </si>
  <si>
    <t>square_height</t>
  </si>
  <si>
    <t>time_axis_width</t>
  </si>
  <si>
    <t>group_margin</t>
  </si>
  <si>
    <t>group_width</t>
  </si>
  <si>
    <t>group_width_per</t>
  </si>
  <si>
    <t>stage_font</t>
  </si>
  <si>
    <t>stage_height</t>
  </si>
  <si>
    <t>stage_margin</t>
  </si>
  <si>
    <t>stage_detail_top</t>
  </si>
  <si>
    <t>stage_interval</t>
  </si>
  <si>
    <t>stage_table_margin</t>
  </si>
  <si>
    <t>selected_margin_lr</t>
  </si>
  <si>
    <t>selected_margin_tb</t>
  </si>
  <si>
    <t>tbl_margin_bottom_ratio</t>
  </si>
  <si>
    <t>group_name</t>
  </si>
  <si>
    <t>stage_id</t>
  </si>
  <si>
    <t>start_time</t>
  </si>
  <si>
    <t>end_time</t>
  </si>
  <si>
    <t>stage_name</t>
  </si>
  <si>
    <t>color</t>
  </si>
  <si>
    <t>R</t>
  </si>
  <si>
    <t>G</t>
  </si>
  <si>
    <t>B</t>
  </si>
  <si>
    <t>stage_place</t>
  </si>
  <si>
    <t>JamsCollection</t>
  </si>
  <si>
    <t>21:00</t>
  </si>
  <si>
    <t>#FF0000</t>
  </si>
  <si>
    <t>stage_id</t>
    <phoneticPr fontId="1"/>
  </si>
  <si>
    <t>textbox_size_plus</t>
  </si>
  <si>
    <t>14</t>
  </si>
  <si>
    <t>0.5</t>
  </si>
  <si>
    <t>6.5</t>
  </si>
  <si>
    <t>4</t>
  </si>
  <si>
    <t>0.9</t>
  </si>
  <si>
    <t>6</t>
  </si>
  <si>
    <t>3</t>
  </si>
  <si>
    <t>5</t>
  </si>
  <si>
    <t>10</t>
  </si>
  <si>
    <t>0.4</t>
  </si>
  <si>
    <t>sp_start_time</t>
  </si>
  <si>
    <t>sp_end_time</t>
  </si>
  <si>
    <t>11:00</t>
  </si>
  <si>
    <t>14:00</t>
  </si>
  <si>
    <t>time_axis_fontSize</t>
  </si>
  <si>
    <t>schedule</t>
  </si>
  <si>
    <t>place</t>
    <phoneticPr fontId="1"/>
  </si>
  <si>
    <t>config</t>
    <phoneticPr fontId="1"/>
  </si>
  <si>
    <t>stg</t>
    <phoneticPr fontId="1"/>
  </si>
  <si>
    <t>sp</t>
    <phoneticPr fontId="1"/>
  </si>
  <si>
    <t>09:00</t>
  </si>
  <si>
    <t>15</t>
  </si>
  <si>
    <t>60</t>
  </si>
  <si>
    <t>8</t>
  </si>
  <si>
    <t>time_axis_scaleWeight</t>
  </si>
  <si>
    <t>1.5</t>
  </si>
  <si>
    <t>group_fontSize</t>
  </si>
  <si>
    <t>group_time_fontSize</t>
  </si>
  <si>
    <t>40</t>
  </si>
  <si>
    <t>no</t>
  </si>
  <si>
    <t>stage_id_no</t>
  </si>
  <si>
    <t>sp_stage_id</t>
  </si>
  <si>
    <t>sp_stage_id_no</t>
  </si>
  <si>
    <t>宮本佳林</t>
  </si>
  <si>
    <t>宮本佳林</t>
    <rPh sb="0" eb="2">
      <t>ミヤモト</t>
    </rPh>
    <rPh sb="2" eb="4">
      <t>カリン</t>
    </rPh>
    <phoneticPr fontId="1"/>
  </si>
  <si>
    <t>JamsCollection</t>
    <phoneticPr fontId="1"/>
  </si>
  <si>
    <t>Girls²</t>
  </si>
  <si>
    <t>Girls²</t>
    <phoneticPr fontId="1"/>
  </si>
  <si>
    <t>Lucky²</t>
  </si>
  <si>
    <t>Lucky²</t>
    <phoneticPr fontId="1"/>
  </si>
  <si>
    <t>FES☆TIVE</t>
    <phoneticPr fontId="1"/>
  </si>
  <si>
    <t>UtaGe!</t>
  </si>
  <si>
    <t>UtaGe!</t>
    <phoneticPr fontId="1"/>
  </si>
  <si>
    <t>INUWASI</t>
    <phoneticPr fontId="1"/>
  </si>
  <si>
    <t>わーすた</t>
  </si>
  <si>
    <t>わーすた</t>
    <phoneticPr fontId="1"/>
  </si>
  <si>
    <t>1</t>
  </si>
  <si>
    <t>1</t>
    <phoneticPr fontId="1"/>
  </si>
  <si>
    <t>2</t>
  </si>
  <si>
    <t>2</t>
    <phoneticPr fontId="1"/>
  </si>
  <si>
    <t>3</t>
    <phoneticPr fontId="1"/>
  </si>
  <si>
    <t>09:00</t>
    <phoneticPr fontId="1"/>
  </si>
  <si>
    <t>09:20</t>
  </si>
  <si>
    <t>09:20</t>
    <phoneticPr fontId="1"/>
  </si>
  <si>
    <t>09:30</t>
  </si>
  <si>
    <t>09:30</t>
    <phoneticPr fontId="1"/>
  </si>
  <si>
    <t>09:40</t>
  </si>
  <si>
    <t>09:40</t>
    <phoneticPr fontId="1"/>
  </si>
  <si>
    <t>10:20</t>
  </si>
  <si>
    <t>10:20</t>
    <phoneticPr fontId="1"/>
  </si>
  <si>
    <t>10:40</t>
  </si>
  <si>
    <t>10:40</t>
    <phoneticPr fontId="1"/>
  </si>
  <si>
    <t>11:00</t>
    <phoneticPr fontId="1"/>
  </si>
  <si>
    <t>11:20</t>
  </si>
  <si>
    <t>11:20</t>
    <phoneticPr fontId="1"/>
  </si>
  <si>
    <t>12:20</t>
  </si>
  <si>
    <t>12:20</t>
    <phoneticPr fontId="1"/>
  </si>
  <si>
    <t>12:40</t>
  </si>
  <si>
    <t>12:40</t>
    <phoneticPr fontId="1"/>
  </si>
  <si>
    <t>14:00</t>
    <phoneticPr fontId="1"/>
  </si>
  <si>
    <t>14:20</t>
  </si>
  <si>
    <t>14:20</t>
    <phoneticPr fontId="1"/>
  </si>
  <si>
    <t>1</t>
    <phoneticPr fontId="1"/>
  </si>
  <si>
    <t>4</t>
    <phoneticPr fontId="1"/>
  </si>
  <si>
    <t>east</t>
  </si>
  <si>
    <t>east</t>
    <phoneticPr fontId="1"/>
  </si>
  <si>
    <t>west</t>
  </si>
  <si>
    <t>west</t>
    <phoneticPr fontId="1"/>
  </si>
  <si>
    <t>spotify-o-east</t>
    <phoneticPr fontId="1"/>
  </si>
  <si>
    <t>spotify-o-west</t>
    <phoneticPr fontId="1"/>
  </si>
  <si>
    <t>womb</t>
  </si>
  <si>
    <t>womb</t>
    <phoneticPr fontId="1"/>
  </si>
  <si>
    <t>vident</t>
  </si>
  <si>
    <t>vident</t>
    <phoneticPr fontId="1"/>
  </si>
  <si>
    <t>イースト</t>
    <phoneticPr fontId="1"/>
  </si>
  <si>
    <t>west²</t>
    <phoneticPr fontId="1"/>
  </si>
  <si>
    <t>WONB</t>
    <phoneticPr fontId="1"/>
  </si>
  <si>
    <t>VIDENT</t>
    <phoneticPr fontId="1"/>
  </si>
  <si>
    <t>#00ff00</t>
    <phoneticPr fontId="1"/>
  </si>
  <si>
    <t>#0000ff</t>
    <phoneticPr fontId="1"/>
  </si>
  <si>
    <t>#00ffff</t>
    <phoneticPr fontId="1"/>
  </si>
  <si>
    <t>east</t>
    <phoneticPr fontId="1"/>
  </si>
  <si>
    <t>east</t>
    <phoneticPr fontId="1"/>
  </si>
  <si>
    <t>vident</t>
    <phoneticPr fontId="1"/>
  </si>
  <si>
    <t>name</t>
    <phoneticPr fontId="1"/>
  </si>
  <si>
    <t>table</t>
    <phoneticPr fontId="1"/>
  </si>
  <si>
    <t/>
  </si>
  <si>
    <t>40</t>
    <phoneticPr fontId="1"/>
  </si>
  <si>
    <t>30</t>
    <phoneticPr fontId="1"/>
  </si>
  <si>
    <t>100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</si>
</sst>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123825</xdr:rowOff>
        </xdr:from>
        <xdr:to>
          <xdr:col>6</xdr:col>
          <xdr:colOff>228600</xdr:colOff>
          <xdr:row>11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4</xdr:row>
          <xdr:rowOff>123825</xdr:rowOff>
        </xdr:from>
        <xdr:to>
          <xdr:col>8</xdr:col>
          <xdr:colOff>47625</xdr:colOff>
          <xdr:row>13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0</xdr:row>
      <xdr:rowOff>0</xdr:rowOff>
    </xdr:from>
    <xdr:to>
      <xdr:col>8</xdr:col>
      <xdr:colOff>546100</xdr:colOff>
      <xdr:row>78</xdr:row>
      <xdr:rowOff>76200</xdr:rowOff>
    </xdr:to>
    <xdr:sp macro="" textlink="">
      <xdr:nvSpPr>
        <xdr:cNvPr id="105" name="vident_all_base"/>
        <xdr:cNvSpPr/>
      </xdr:nvSpPr>
      <xdr:spPr>
        <a:xfrm>
          <a:off x="4762500" y="0"/>
          <a:ext cx="1270000" cy="13449300"/>
        </a:xfrm>
        <a:prstGeom prst="roundRect">
          <a:avLst>
            <a:gd name="adj" fmla="val 100"/>
          </a:avLst>
        </a:prstGeom>
        <a:solidFill>
          <a:srgbClr val="00FFFF">
            <a:alpha val="10000"/>
          </a:srgbClr>
        </a:solidFill>
        <a:ln w="12700" cap="flat" cmpd="sng" algn="ctr">
          <a:solidFill>
            <a:srgbClr val="00FFFF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584200</xdr:colOff>
      <xdr:row>78</xdr:row>
      <xdr:rowOff>76200</xdr:rowOff>
    </xdr:to>
    <xdr:sp macro="" textlink="">
      <xdr:nvSpPr>
        <xdr:cNvPr id="92" name="womb_all_base"/>
        <xdr:cNvSpPr/>
      </xdr:nvSpPr>
      <xdr:spPr>
        <a:xfrm>
          <a:off x="3429000" y="0"/>
          <a:ext cx="1270000" cy="13449300"/>
        </a:xfrm>
        <a:prstGeom prst="roundRect">
          <a:avLst>
            <a:gd name="adj" fmla="val 100"/>
          </a:avLst>
        </a:prstGeom>
        <a:solidFill>
          <a:srgbClr val="0000FF">
            <a:alpha val="10000"/>
          </a:srgbClr>
        </a:solidFill>
        <a:ln w="12700" cap="flat" cmpd="sng" algn="ctr">
          <a:solidFill>
            <a:srgbClr val="0000FF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622300</xdr:colOff>
      <xdr:row>81</xdr:row>
      <xdr:rowOff>69850</xdr:rowOff>
    </xdr:to>
    <xdr:sp macro="" textlink="">
      <xdr:nvSpPr>
        <xdr:cNvPr id="82" name="west_all_base"/>
        <xdr:cNvSpPr/>
      </xdr:nvSpPr>
      <xdr:spPr>
        <a:xfrm>
          <a:off x="2095500" y="0"/>
          <a:ext cx="1270000" cy="13957300"/>
        </a:xfrm>
        <a:prstGeom prst="roundRect">
          <a:avLst>
            <a:gd name="adj" fmla="val 100"/>
          </a:avLst>
        </a:prstGeom>
        <a:solidFill>
          <a:srgbClr val="00FF00">
            <a:alpha val="10000"/>
          </a:srgbClr>
        </a:solidFill>
        <a:ln w="12700" cap="flat" cmpd="sng" algn="ctr">
          <a:solidFill>
            <a:srgbClr val="00FF00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76200</xdr:colOff>
      <xdr:row>0</xdr:row>
      <xdr:rowOff>0</xdr:rowOff>
    </xdr:from>
    <xdr:to>
      <xdr:col>2</xdr:col>
      <xdr:colOff>660400</xdr:colOff>
      <xdr:row>81</xdr:row>
      <xdr:rowOff>69850</xdr:rowOff>
    </xdr:to>
    <xdr:sp macro="" textlink="">
      <xdr:nvSpPr>
        <xdr:cNvPr id="69" name="east_all_base"/>
        <xdr:cNvSpPr/>
      </xdr:nvSpPr>
      <xdr:spPr>
        <a:xfrm>
          <a:off x="762000" y="0"/>
          <a:ext cx="1270000" cy="13957300"/>
        </a:xfrm>
        <a:prstGeom prst="roundRect">
          <a:avLst>
            <a:gd name="adj" fmla="val 100"/>
          </a:avLst>
        </a:prstGeom>
        <a:solidFill>
          <a:srgbClr val="FF0000">
            <a:alpha val="10000"/>
          </a:srgbClr>
        </a:solidFill>
        <a:ln w="12700" cap="flat" cmpd="sng" algn="ctr">
          <a:solidFill>
            <a:srgbClr val="FF0000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85090</xdr:rowOff>
    </xdr:from>
    <xdr:to>
      <xdr:col>1</xdr:col>
      <xdr:colOff>76200</xdr:colOff>
      <xdr:row>77</xdr:row>
      <xdr:rowOff>135890</xdr:rowOff>
    </xdr:to>
    <xdr:grpSp>
      <xdr:nvGrpSpPr>
        <xdr:cNvPr id="52" name="time_axis"/>
        <xdr:cNvGrpSpPr/>
      </xdr:nvGrpSpPr>
      <xdr:grpSpPr>
        <a:xfrm>
          <a:off x="0" y="942340"/>
          <a:ext cx="762000" cy="12395200"/>
          <a:chOff x="0" y="0"/>
          <a:chExt cx="762000" cy="12395200"/>
        </a:xfrm>
      </xdr:grpSpPr>
      <xdr:sp macro="" textlink="">
        <xdr:nvSpPr>
          <xdr:cNvPr id="2" name="timeAxis00"/>
          <xdr:cNvSpPr/>
        </xdr:nvSpPr>
        <xdr:spPr>
          <a:xfrm>
            <a:off x="0" y="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09:00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" name="timeAxis01"/>
          <xdr:cNvSpPr/>
        </xdr:nvSpPr>
        <xdr:spPr>
          <a:xfrm>
            <a:off x="0" y="508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09:30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" name="timeAxis02"/>
          <xdr:cNvSpPr/>
        </xdr:nvSpPr>
        <xdr:spPr>
          <a:xfrm>
            <a:off x="0" y="1016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10:00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5" name="timeAxis03"/>
          <xdr:cNvSpPr/>
        </xdr:nvSpPr>
        <xdr:spPr>
          <a:xfrm>
            <a:off x="0" y="1524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10:30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6" name="timeAxis04"/>
          <xdr:cNvSpPr/>
        </xdr:nvSpPr>
        <xdr:spPr>
          <a:xfrm>
            <a:off x="0" y="2032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11:00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7" name="timeAxis05"/>
          <xdr:cNvSpPr/>
        </xdr:nvSpPr>
        <xdr:spPr>
          <a:xfrm>
            <a:off x="0" y="2540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11:30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8" name="timeAxis06"/>
          <xdr:cNvSpPr/>
        </xdr:nvSpPr>
        <xdr:spPr>
          <a:xfrm>
            <a:off x="0" y="3048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12:00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9" name="timeAxis07"/>
          <xdr:cNvSpPr/>
        </xdr:nvSpPr>
        <xdr:spPr>
          <a:xfrm>
            <a:off x="0" y="3556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12:30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0" name="timeAxis08"/>
          <xdr:cNvSpPr/>
        </xdr:nvSpPr>
        <xdr:spPr>
          <a:xfrm>
            <a:off x="0" y="4064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13:00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1" name="timeAxis09"/>
          <xdr:cNvSpPr/>
        </xdr:nvSpPr>
        <xdr:spPr>
          <a:xfrm>
            <a:off x="0" y="4572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13:30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2" name="timeAxis10"/>
          <xdr:cNvSpPr/>
        </xdr:nvSpPr>
        <xdr:spPr>
          <a:xfrm>
            <a:off x="0" y="5080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14:00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3" name="timeAxis11"/>
          <xdr:cNvSpPr/>
        </xdr:nvSpPr>
        <xdr:spPr>
          <a:xfrm>
            <a:off x="0" y="5588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14:30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4" name="timeAxis12"/>
          <xdr:cNvSpPr/>
        </xdr:nvSpPr>
        <xdr:spPr>
          <a:xfrm>
            <a:off x="0" y="6096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15:00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5" name="timeAxis13"/>
          <xdr:cNvSpPr/>
        </xdr:nvSpPr>
        <xdr:spPr>
          <a:xfrm>
            <a:off x="0" y="6604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15:30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6" name="timeAxis14"/>
          <xdr:cNvSpPr/>
        </xdr:nvSpPr>
        <xdr:spPr>
          <a:xfrm>
            <a:off x="0" y="7112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16:00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7" name="timeAxis15"/>
          <xdr:cNvSpPr/>
        </xdr:nvSpPr>
        <xdr:spPr>
          <a:xfrm>
            <a:off x="0" y="7620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16:30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8" name="timeAxis16"/>
          <xdr:cNvSpPr/>
        </xdr:nvSpPr>
        <xdr:spPr>
          <a:xfrm>
            <a:off x="0" y="8128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17:00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9" name="timeAxis17"/>
          <xdr:cNvSpPr/>
        </xdr:nvSpPr>
        <xdr:spPr>
          <a:xfrm>
            <a:off x="0" y="8636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17:30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0" name="timeAxis18"/>
          <xdr:cNvSpPr/>
        </xdr:nvSpPr>
        <xdr:spPr>
          <a:xfrm>
            <a:off x="0" y="9144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18:00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1" name="timeAxis19"/>
          <xdr:cNvSpPr/>
        </xdr:nvSpPr>
        <xdr:spPr>
          <a:xfrm>
            <a:off x="0" y="9652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18:30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2" name="timeAxis20"/>
          <xdr:cNvSpPr/>
        </xdr:nvSpPr>
        <xdr:spPr>
          <a:xfrm>
            <a:off x="0" y="10160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19:00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3" name="timeAxis21"/>
          <xdr:cNvSpPr/>
        </xdr:nvSpPr>
        <xdr:spPr>
          <a:xfrm>
            <a:off x="0" y="10668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19:30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4" name="timeAxis22"/>
          <xdr:cNvSpPr/>
        </xdr:nvSpPr>
        <xdr:spPr>
          <a:xfrm>
            <a:off x="0" y="11176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20:00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5" name="timeAxis23"/>
          <xdr:cNvSpPr/>
        </xdr:nvSpPr>
        <xdr:spPr>
          <a:xfrm>
            <a:off x="0" y="11684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20:30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6" name="timeAxis24"/>
          <xdr:cNvSpPr/>
        </xdr:nvSpPr>
        <xdr:spPr>
          <a:xfrm>
            <a:off x="0" y="12192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21:00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</xdr:col>
      <xdr:colOff>76200</xdr:colOff>
      <xdr:row>6</xdr:row>
      <xdr:rowOff>25400</xdr:rowOff>
    </xdr:from>
    <xdr:to>
      <xdr:col>8</xdr:col>
      <xdr:colOff>546100</xdr:colOff>
      <xdr:row>77</xdr:row>
      <xdr:rowOff>44450</xdr:rowOff>
    </xdr:to>
    <xdr:grpSp>
      <xdr:nvGrpSpPr>
        <xdr:cNvPr id="53" name="time_axis_scale"/>
        <xdr:cNvGrpSpPr/>
      </xdr:nvGrpSpPr>
      <xdr:grpSpPr>
        <a:xfrm>
          <a:off x="762000" y="1054100"/>
          <a:ext cx="5270500" cy="12192000"/>
          <a:chOff x="1270000" y="0"/>
          <a:chExt cx="1270000" cy="12192000"/>
        </a:xfrm>
      </xdr:grpSpPr>
      <xdr:sp macro="" textlink="">
        <xdr:nvSpPr>
          <xdr:cNvPr id="27" name="timeAxisScale00"/>
          <xdr:cNvSpPr/>
        </xdr:nvSpPr>
        <xdr:spPr>
          <a:xfrm>
            <a:off x="1270000" y="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" name="timeAxisScale01"/>
          <xdr:cNvSpPr/>
        </xdr:nvSpPr>
        <xdr:spPr>
          <a:xfrm>
            <a:off x="1270000" y="50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timeAxisScale02"/>
          <xdr:cNvSpPr/>
        </xdr:nvSpPr>
        <xdr:spPr>
          <a:xfrm>
            <a:off x="1270000" y="101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" name="timeAxisScale03"/>
          <xdr:cNvSpPr/>
        </xdr:nvSpPr>
        <xdr:spPr>
          <a:xfrm>
            <a:off x="1270000" y="152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" name="timeAxisScale04"/>
          <xdr:cNvSpPr/>
        </xdr:nvSpPr>
        <xdr:spPr>
          <a:xfrm>
            <a:off x="1270000" y="203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2" name="timeAxisScale05"/>
          <xdr:cNvSpPr/>
        </xdr:nvSpPr>
        <xdr:spPr>
          <a:xfrm>
            <a:off x="1270000" y="2540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timeAxisScale06"/>
          <xdr:cNvSpPr/>
        </xdr:nvSpPr>
        <xdr:spPr>
          <a:xfrm>
            <a:off x="1270000" y="304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4" name="timeAxisScale07"/>
          <xdr:cNvSpPr/>
        </xdr:nvSpPr>
        <xdr:spPr>
          <a:xfrm>
            <a:off x="1270000" y="355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5" name="timeAxisScale08"/>
          <xdr:cNvSpPr/>
        </xdr:nvSpPr>
        <xdr:spPr>
          <a:xfrm>
            <a:off x="1270000" y="406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6" name="timeAxisScale09"/>
          <xdr:cNvSpPr/>
        </xdr:nvSpPr>
        <xdr:spPr>
          <a:xfrm>
            <a:off x="1270000" y="457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7" name="timeAxisScale10"/>
          <xdr:cNvSpPr/>
        </xdr:nvSpPr>
        <xdr:spPr>
          <a:xfrm>
            <a:off x="1270000" y="5080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8" name="timeAxisScale11"/>
          <xdr:cNvSpPr/>
        </xdr:nvSpPr>
        <xdr:spPr>
          <a:xfrm>
            <a:off x="1270000" y="558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9" name="timeAxisScale12"/>
          <xdr:cNvSpPr/>
        </xdr:nvSpPr>
        <xdr:spPr>
          <a:xfrm>
            <a:off x="1270000" y="609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0" name="timeAxisScale13"/>
          <xdr:cNvSpPr/>
        </xdr:nvSpPr>
        <xdr:spPr>
          <a:xfrm>
            <a:off x="1270000" y="660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1" name="timeAxisScale14"/>
          <xdr:cNvSpPr/>
        </xdr:nvSpPr>
        <xdr:spPr>
          <a:xfrm>
            <a:off x="1270000" y="711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2" name="timeAxisScale15"/>
          <xdr:cNvSpPr/>
        </xdr:nvSpPr>
        <xdr:spPr>
          <a:xfrm>
            <a:off x="1270000" y="7620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timeAxisScale16"/>
          <xdr:cNvSpPr/>
        </xdr:nvSpPr>
        <xdr:spPr>
          <a:xfrm>
            <a:off x="1270000" y="812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4" name="timeAxisScale17"/>
          <xdr:cNvSpPr/>
        </xdr:nvSpPr>
        <xdr:spPr>
          <a:xfrm>
            <a:off x="1270000" y="863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5" name="timeAxisScale18"/>
          <xdr:cNvSpPr/>
        </xdr:nvSpPr>
        <xdr:spPr>
          <a:xfrm>
            <a:off x="1270000" y="914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timeAxisScale19"/>
          <xdr:cNvSpPr/>
        </xdr:nvSpPr>
        <xdr:spPr>
          <a:xfrm>
            <a:off x="1270000" y="965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7" name="timeAxisScale20"/>
          <xdr:cNvSpPr/>
        </xdr:nvSpPr>
        <xdr:spPr>
          <a:xfrm>
            <a:off x="1270000" y="10160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8" name="timeAxisScale21"/>
          <xdr:cNvSpPr/>
        </xdr:nvSpPr>
        <xdr:spPr>
          <a:xfrm>
            <a:off x="1270000" y="1066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9" name="timeAxisScale22"/>
          <xdr:cNvSpPr/>
        </xdr:nvSpPr>
        <xdr:spPr>
          <a:xfrm>
            <a:off x="1270000" y="1117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0" name="timeAxisScale23"/>
          <xdr:cNvSpPr/>
        </xdr:nvSpPr>
        <xdr:spPr>
          <a:xfrm>
            <a:off x="1270000" y="1168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1" name="timeAxisScale24"/>
          <xdr:cNvSpPr/>
        </xdr:nvSpPr>
        <xdr:spPr>
          <a:xfrm>
            <a:off x="1270000" y="1219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76200</xdr:colOff>
      <xdr:row>0</xdr:row>
      <xdr:rowOff>0</xdr:rowOff>
    </xdr:from>
    <xdr:to>
      <xdr:col>2</xdr:col>
      <xdr:colOff>660400</xdr:colOff>
      <xdr:row>3</xdr:row>
      <xdr:rowOff>31750</xdr:rowOff>
    </xdr:to>
    <xdr:grpSp>
      <xdr:nvGrpSpPr>
        <xdr:cNvPr id="57" name="east_Detail"/>
        <xdr:cNvGrpSpPr/>
      </xdr:nvGrpSpPr>
      <xdr:grpSpPr>
        <a:xfrm>
          <a:off x="762000" y="0"/>
          <a:ext cx="1270000" cy="546100"/>
          <a:chOff x="0" y="0"/>
          <a:chExt cx="1270000" cy="546100"/>
        </a:xfrm>
      </xdr:grpSpPr>
      <xdr:sp macro="" textlink="">
        <xdr:nvSpPr>
          <xdr:cNvPr id="54" name="east_stage_name"/>
          <xdr:cNvSpPr/>
        </xdr:nvSpPr>
        <xdr:spPr>
          <a:xfrm>
            <a:off x="63500" y="635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spotify-o-east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55" name="east_stage_place"/>
          <xdr:cNvSpPr/>
        </xdr:nvSpPr>
        <xdr:spPr>
          <a:xfrm>
            <a:off x="63500" y="3048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600" b="1">
                <a:solidFill>
                  <a:srgbClr val="000000"/>
                </a:solidFill>
              </a:rPr>
              <a:t>イースト</a:t>
            </a:r>
          </a:p>
        </xdr:txBody>
      </xdr:sp>
      <xdr:sp macro="" textlink="">
        <xdr:nvSpPr>
          <xdr:cNvPr id="56" name="east_detail_base"/>
          <xdr:cNvSpPr/>
        </xdr:nvSpPr>
        <xdr:spPr>
          <a:xfrm>
            <a:off x="0" y="0"/>
            <a:ext cx="127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</xdr:col>
      <xdr:colOff>76200</xdr:colOff>
      <xdr:row>3</xdr:row>
      <xdr:rowOff>31750</xdr:rowOff>
    </xdr:from>
    <xdr:to>
      <xdr:col>2</xdr:col>
      <xdr:colOff>660400</xdr:colOff>
      <xdr:row>81</xdr:row>
      <xdr:rowOff>69850</xdr:rowOff>
    </xdr:to>
    <xdr:grpSp>
      <xdr:nvGrpSpPr>
        <xdr:cNvPr id="68" name="east_TimeTable"/>
        <xdr:cNvGrpSpPr/>
      </xdr:nvGrpSpPr>
      <xdr:grpSpPr>
        <a:xfrm>
          <a:off x="762000" y="546100"/>
          <a:ext cx="1270000" cy="13411200"/>
          <a:chOff x="0" y="0"/>
          <a:chExt cx="1270000" cy="13411200"/>
        </a:xfrm>
      </xdr:grpSpPr>
      <xdr:sp macro="" textlink="">
        <xdr:nvSpPr>
          <xdr:cNvPr id="58" name="east_base"/>
          <xdr:cNvSpPr/>
        </xdr:nvSpPr>
        <xdr:spPr>
          <a:xfrm>
            <a:off x="0" y="508000"/>
            <a:ext cx="1270000" cy="129032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59" name="east_1_under"/>
          <xdr:cNvSpPr/>
        </xdr:nvSpPr>
        <xdr:spPr>
          <a:xfrm>
            <a:off x="63500" y="527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0" name="east_1_text"/>
          <xdr:cNvSpPr/>
        </xdr:nvSpPr>
        <xdr:spPr>
          <a:xfrm>
            <a:off x="63500" y="0"/>
            <a:ext cx="1143000" cy="13546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ja-JP" altLang="en-US" sz="1100" b="1">
                <a:solidFill>
                  <a:srgbClr val="000000"/>
                </a:solidFill>
              </a:rPr>
              <a:t>宮本佳林</a:t>
            </a:r>
            <a:r>
              <a:rPr kumimoji="1" lang="ja-JP" altLang="en-US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09:00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09:20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62" name="east_2_under"/>
          <xdr:cNvSpPr/>
        </xdr:nvSpPr>
        <xdr:spPr>
          <a:xfrm>
            <a:off x="63500" y="1035050"/>
            <a:ext cx="1143000" cy="131233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3" name="east_2_text"/>
          <xdr:cNvSpPr/>
        </xdr:nvSpPr>
        <xdr:spPr>
          <a:xfrm>
            <a:off x="63500" y="508000"/>
            <a:ext cx="1143000" cy="1185333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JamsCollection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09:30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09:40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65" name="east_3_under"/>
          <xdr:cNvSpPr/>
        </xdr:nvSpPr>
        <xdr:spPr>
          <a:xfrm>
            <a:off x="63500" y="1881717"/>
            <a:ext cx="1143000" cy="300566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6" name="east_3_text"/>
          <xdr:cNvSpPr/>
        </xdr:nvSpPr>
        <xdr:spPr>
          <a:xfrm>
            <a:off x="63500" y="1354667"/>
            <a:ext cx="1143000" cy="1354666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Girls²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10:20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10:40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61" name="east_1_up"/>
          <xdr:cNvSpPr/>
        </xdr:nvSpPr>
        <xdr:spPr>
          <a:xfrm>
            <a:off x="63500" y="527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64" name="east_2_up"/>
          <xdr:cNvSpPr/>
        </xdr:nvSpPr>
        <xdr:spPr>
          <a:xfrm>
            <a:off x="63500" y="1035050"/>
            <a:ext cx="1143000" cy="131233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67" name="east_3_up"/>
          <xdr:cNvSpPr/>
        </xdr:nvSpPr>
        <xdr:spPr>
          <a:xfrm>
            <a:off x="63500" y="1881717"/>
            <a:ext cx="1143000" cy="300566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38100</xdr:colOff>
      <xdr:row>0</xdr:row>
      <xdr:rowOff>0</xdr:rowOff>
    </xdr:from>
    <xdr:to>
      <xdr:col>4</xdr:col>
      <xdr:colOff>622300</xdr:colOff>
      <xdr:row>3</xdr:row>
      <xdr:rowOff>31750</xdr:rowOff>
    </xdr:to>
    <xdr:grpSp>
      <xdr:nvGrpSpPr>
        <xdr:cNvPr id="73" name="west_Detail"/>
        <xdr:cNvGrpSpPr/>
      </xdr:nvGrpSpPr>
      <xdr:grpSpPr>
        <a:xfrm>
          <a:off x="2095500" y="0"/>
          <a:ext cx="1270000" cy="546100"/>
          <a:chOff x="0" y="0"/>
          <a:chExt cx="1270000" cy="546100"/>
        </a:xfrm>
      </xdr:grpSpPr>
      <xdr:sp macro="" textlink="">
        <xdr:nvSpPr>
          <xdr:cNvPr id="70" name="west_stage_name"/>
          <xdr:cNvSpPr/>
        </xdr:nvSpPr>
        <xdr:spPr>
          <a:xfrm>
            <a:off x="63500" y="635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spotify-o-west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71" name="west_stage_place"/>
          <xdr:cNvSpPr/>
        </xdr:nvSpPr>
        <xdr:spPr>
          <a:xfrm>
            <a:off x="63500" y="3048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west²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72" name="west_detail_base"/>
          <xdr:cNvSpPr/>
        </xdr:nvSpPr>
        <xdr:spPr>
          <a:xfrm>
            <a:off x="0" y="0"/>
            <a:ext cx="127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3</xdr:col>
      <xdr:colOff>38100</xdr:colOff>
      <xdr:row>3</xdr:row>
      <xdr:rowOff>31750</xdr:rowOff>
    </xdr:from>
    <xdr:to>
      <xdr:col>4</xdr:col>
      <xdr:colOff>622300</xdr:colOff>
      <xdr:row>81</xdr:row>
      <xdr:rowOff>69850</xdr:rowOff>
    </xdr:to>
    <xdr:grpSp>
      <xdr:nvGrpSpPr>
        <xdr:cNvPr id="81" name="west_TimeTable"/>
        <xdr:cNvGrpSpPr/>
      </xdr:nvGrpSpPr>
      <xdr:grpSpPr>
        <a:xfrm>
          <a:off x="2095500" y="546100"/>
          <a:ext cx="1270000" cy="13411200"/>
          <a:chOff x="0" y="0"/>
          <a:chExt cx="1270000" cy="13411200"/>
        </a:xfrm>
      </xdr:grpSpPr>
      <xdr:sp macro="" textlink="">
        <xdr:nvSpPr>
          <xdr:cNvPr id="74" name="west_base"/>
          <xdr:cNvSpPr/>
        </xdr:nvSpPr>
        <xdr:spPr>
          <a:xfrm>
            <a:off x="0" y="508000"/>
            <a:ext cx="1270000" cy="129032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75" name="west_4_under"/>
          <xdr:cNvSpPr/>
        </xdr:nvSpPr>
        <xdr:spPr>
          <a:xfrm>
            <a:off x="63500" y="527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6" name="west_4_text"/>
          <xdr:cNvSpPr/>
        </xdr:nvSpPr>
        <xdr:spPr>
          <a:xfrm>
            <a:off x="63500" y="0"/>
            <a:ext cx="1143000" cy="13546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Lucky²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09:00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09:20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78" name="west_5_under"/>
          <xdr:cNvSpPr/>
        </xdr:nvSpPr>
        <xdr:spPr>
          <a:xfrm>
            <a:off x="63500" y="1881717"/>
            <a:ext cx="1143000" cy="300566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9" name="west_5_text"/>
          <xdr:cNvSpPr/>
        </xdr:nvSpPr>
        <xdr:spPr>
          <a:xfrm>
            <a:off x="63500" y="1354667"/>
            <a:ext cx="1143000" cy="1354666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FES☆TIVE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10:20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10:40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77" name="west_4_up"/>
          <xdr:cNvSpPr/>
        </xdr:nvSpPr>
        <xdr:spPr>
          <a:xfrm>
            <a:off x="63500" y="527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80" name="west_5_up"/>
          <xdr:cNvSpPr/>
        </xdr:nvSpPr>
        <xdr:spPr>
          <a:xfrm>
            <a:off x="63500" y="1881717"/>
            <a:ext cx="1143000" cy="300566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584200</xdr:colOff>
      <xdr:row>3</xdr:row>
      <xdr:rowOff>31750</xdr:rowOff>
    </xdr:to>
    <xdr:grpSp>
      <xdr:nvGrpSpPr>
        <xdr:cNvPr id="86" name="womb_Detail"/>
        <xdr:cNvGrpSpPr/>
      </xdr:nvGrpSpPr>
      <xdr:grpSpPr>
        <a:xfrm>
          <a:off x="3429000" y="0"/>
          <a:ext cx="1270000" cy="546100"/>
          <a:chOff x="0" y="0"/>
          <a:chExt cx="1270000" cy="546100"/>
        </a:xfrm>
      </xdr:grpSpPr>
      <xdr:sp macro="" textlink="">
        <xdr:nvSpPr>
          <xdr:cNvPr id="83" name="womb_stage_name"/>
          <xdr:cNvSpPr/>
        </xdr:nvSpPr>
        <xdr:spPr>
          <a:xfrm>
            <a:off x="63500" y="635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womb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84" name="womb_stage_place"/>
          <xdr:cNvSpPr/>
        </xdr:nvSpPr>
        <xdr:spPr>
          <a:xfrm>
            <a:off x="63500" y="3048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WONB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85" name="womb_detail_base"/>
          <xdr:cNvSpPr/>
        </xdr:nvSpPr>
        <xdr:spPr>
          <a:xfrm>
            <a:off x="0" y="0"/>
            <a:ext cx="127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5</xdr:col>
      <xdr:colOff>0</xdr:colOff>
      <xdr:row>3</xdr:row>
      <xdr:rowOff>31750</xdr:rowOff>
    </xdr:from>
    <xdr:to>
      <xdr:col>6</xdr:col>
      <xdr:colOff>584200</xdr:colOff>
      <xdr:row>78</xdr:row>
      <xdr:rowOff>76200</xdr:rowOff>
    </xdr:to>
    <xdr:grpSp>
      <xdr:nvGrpSpPr>
        <xdr:cNvPr id="91" name="womb_TimeTable"/>
        <xdr:cNvGrpSpPr/>
      </xdr:nvGrpSpPr>
      <xdr:grpSpPr>
        <a:xfrm>
          <a:off x="3429000" y="546100"/>
          <a:ext cx="1270000" cy="12903200"/>
          <a:chOff x="0" y="508000"/>
          <a:chExt cx="1270000" cy="12903200"/>
        </a:xfrm>
      </xdr:grpSpPr>
      <xdr:sp macro="" textlink="">
        <xdr:nvSpPr>
          <xdr:cNvPr id="87" name="womb_base"/>
          <xdr:cNvSpPr/>
        </xdr:nvSpPr>
        <xdr:spPr>
          <a:xfrm>
            <a:off x="0" y="508000"/>
            <a:ext cx="1270000" cy="129032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88" name="womb_6_under"/>
          <xdr:cNvSpPr/>
        </xdr:nvSpPr>
        <xdr:spPr>
          <a:xfrm>
            <a:off x="63500" y="2559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" name="womb_6_text"/>
          <xdr:cNvSpPr/>
        </xdr:nvSpPr>
        <xdr:spPr>
          <a:xfrm>
            <a:off x="63500" y="2032000"/>
            <a:ext cx="1143000" cy="13546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UtaGe!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11:00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11:20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90" name="womb_6_up"/>
          <xdr:cNvSpPr/>
        </xdr:nvSpPr>
        <xdr:spPr>
          <a:xfrm>
            <a:off x="63500" y="2559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647700</xdr:colOff>
      <xdr:row>0</xdr:row>
      <xdr:rowOff>0</xdr:rowOff>
    </xdr:from>
    <xdr:to>
      <xdr:col>8</xdr:col>
      <xdr:colOff>546100</xdr:colOff>
      <xdr:row>3</xdr:row>
      <xdr:rowOff>31750</xdr:rowOff>
    </xdr:to>
    <xdr:grpSp>
      <xdr:nvGrpSpPr>
        <xdr:cNvPr id="96" name="vident_Detail"/>
        <xdr:cNvGrpSpPr/>
      </xdr:nvGrpSpPr>
      <xdr:grpSpPr>
        <a:xfrm>
          <a:off x="4762500" y="0"/>
          <a:ext cx="1270000" cy="546100"/>
          <a:chOff x="0" y="0"/>
          <a:chExt cx="1270000" cy="546100"/>
        </a:xfrm>
      </xdr:grpSpPr>
      <xdr:sp macro="" textlink="">
        <xdr:nvSpPr>
          <xdr:cNvPr id="93" name="vident_stage_name"/>
          <xdr:cNvSpPr/>
        </xdr:nvSpPr>
        <xdr:spPr>
          <a:xfrm>
            <a:off x="63500" y="635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vident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94" name="vident_stage_place"/>
          <xdr:cNvSpPr/>
        </xdr:nvSpPr>
        <xdr:spPr>
          <a:xfrm>
            <a:off x="63500" y="304800"/>
            <a:ext cx="114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VIDENT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95" name="vident_detail_base"/>
          <xdr:cNvSpPr/>
        </xdr:nvSpPr>
        <xdr:spPr>
          <a:xfrm>
            <a:off x="0" y="0"/>
            <a:ext cx="127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6</xdr:col>
      <xdr:colOff>647700</xdr:colOff>
      <xdr:row>3</xdr:row>
      <xdr:rowOff>31750</xdr:rowOff>
    </xdr:from>
    <xdr:to>
      <xdr:col>8</xdr:col>
      <xdr:colOff>546100</xdr:colOff>
      <xdr:row>78</xdr:row>
      <xdr:rowOff>76200</xdr:rowOff>
    </xdr:to>
    <xdr:grpSp>
      <xdr:nvGrpSpPr>
        <xdr:cNvPr id="104" name="vident_TimeTable"/>
        <xdr:cNvGrpSpPr/>
      </xdr:nvGrpSpPr>
      <xdr:grpSpPr>
        <a:xfrm>
          <a:off x="4762500" y="546100"/>
          <a:ext cx="1270000" cy="12903200"/>
          <a:chOff x="0" y="508000"/>
          <a:chExt cx="1270000" cy="12903200"/>
        </a:xfrm>
      </xdr:grpSpPr>
      <xdr:sp macro="" textlink="">
        <xdr:nvSpPr>
          <xdr:cNvPr id="97" name="vident_base"/>
          <xdr:cNvSpPr/>
        </xdr:nvSpPr>
        <xdr:spPr>
          <a:xfrm>
            <a:off x="0" y="508000"/>
            <a:ext cx="1270000" cy="129032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98" name="vident_7_under"/>
          <xdr:cNvSpPr/>
        </xdr:nvSpPr>
        <xdr:spPr>
          <a:xfrm>
            <a:off x="63500" y="3913717"/>
            <a:ext cx="1143000" cy="300566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9" name="vident_7_text"/>
          <xdr:cNvSpPr/>
        </xdr:nvSpPr>
        <xdr:spPr>
          <a:xfrm>
            <a:off x="63500" y="3386667"/>
            <a:ext cx="1143000" cy="1354666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INUWASI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12:20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12:40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101" name="vident_8_under"/>
          <xdr:cNvSpPr/>
        </xdr:nvSpPr>
        <xdr:spPr>
          <a:xfrm>
            <a:off x="63500" y="5607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2" name="vident_8_text"/>
          <xdr:cNvSpPr/>
        </xdr:nvSpPr>
        <xdr:spPr>
          <a:xfrm>
            <a:off x="63500" y="5080000"/>
            <a:ext cx="1143000" cy="13546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ja-JP" altLang="en-US" sz="1100" b="1">
                <a:solidFill>
                  <a:srgbClr val="000000"/>
                </a:solidFill>
              </a:rPr>
              <a:t>わーすた</a:t>
            </a:r>
            <a:r>
              <a:rPr kumimoji="1" lang="ja-JP" altLang="en-US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14:00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14:20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100" name="vident_7_up"/>
          <xdr:cNvSpPr/>
        </xdr:nvSpPr>
        <xdr:spPr>
          <a:xfrm>
            <a:off x="63500" y="3913717"/>
            <a:ext cx="1143000" cy="300566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103" name="vident_8_up"/>
          <xdr:cNvSpPr/>
        </xdr:nvSpPr>
        <xdr:spPr>
          <a:xfrm>
            <a:off x="63500" y="5607050"/>
            <a:ext cx="1143000" cy="3005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38100</xdr:colOff>
      <xdr:row>0</xdr:row>
      <xdr:rowOff>0</xdr:rowOff>
    </xdr:from>
    <xdr:to>
      <xdr:col>25</xdr:col>
      <xdr:colOff>317500</xdr:colOff>
      <xdr:row>56</xdr:row>
      <xdr:rowOff>58420</xdr:rowOff>
    </xdr:to>
    <xdr:sp macro="" textlink="">
      <xdr:nvSpPr>
        <xdr:cNvPr id="153" name="vident_all_base"/>
        <xdr:cNvSpPr/>
      </xdr:nvSpPr>
      <xdr:spPr>
        <a:xfrm>
          <a:off x="12382500" y="0"/>
          <a:ext cx="5080000" cy="9659620"/>
        </a:xfrm>
        <a:prstGeom prst="roundRect">
          <a:avLst>
            <a:gd name="adj" fmla="val 100"/>
          </a:avLst>
        </a:prstGeom>
        <a:solidFill>
          <a:srgbClr val="00FFFF">
            <a:alpha val="10000"/>
          </a:srgbClr>
        </a:solidFill>
        <a:ln w="12700" cap="flat" cmpd="sng" algn="ctr">
          <a:solidFill>
            <a:srgbClr val="00FFFF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177800</xdr:colOff>
      <xdr:row>0</xdr:row>
      <xdr:rowOff>0</xdr:rowOff>
    </xdr:from>
    <xdr:to>
      <xdr:col>17</xdr:col>
      <xdr:colOff>660400</xdr:colOff>
      <xdr:row>56</xdr:row>
      <xdr:rowOff>58420</xdr:rowOff>
    </xdr:to>
    <xdr:sp macro="" textlink="">
      <xdr:nvSpPr>
        <xdr:cNvPr id="140" name="womb_all_base"/>
        <xdr:cNvSpPr/>
      </xdr:nvSpPr>
      <xdr:spPr>
        <a:xfrm>
          <a:off x="9779000" y="0"/>
          <a:ext cx="2540000" cy="9659620"/>
        </a:xfrm>
        <a:prstGeom prst="roundRect">
          <a:avLst>
            <a:gd name="adj" fmla="val 100"/>
          </a:avLst>
        </a:prstGeom>
        <a:solidFill>
          <a:srgbClr val="0000FF">
            <a:alpha val="10000"/>
          </a:srgbClr>
        </a:solidFill>
        <a:ln w="12700" cap="flat" cmpd="sng" algn="ctr">
          <a:solidFill>
            <a:srgbClr val="0000FF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520700</xdr:colOff>
      <xdr:row>0</xdr:row>
      <xdr:rowOff>0</xdr:rowOff>
    </xdr:from>
    <xdr:to>
      <xdr:col>14</xdr:col>
      <xdr:colOff>114300</xdr:colOff>
      <xdr:row>59</xdr:row>
      <xdr:rowOff>52070</xdr:rowOff>
    </xdr:to>
    <xdr:sp macro="" textlink="">
      <xdr:nvSpPr>
        <xdr:cNvPr id="130" name="west_all_base"/>
        <xdr:cNvSpPr/>
      </xdr:nvSpPr>
      <xdr:spPr>
        <a:xfrm>
          <a:off x="4635500" y="0"/>
          <a:ext cx="5080000" cy="10167620"/>
        </a:xfrm>
        <a:prstGeom prst="roundRect">
          <a:avLst>
            <a:gd name="adj" fmla="val 100"/>
          </a:avLst>
        </a:prstGeom>
        <a:solidFill>
          <a:srgbClr val="00FF00">
            <a:alpha val="10000"/>
          </a:srgbClr>
        </a:solidFill>
        <a:ln w="12700" cap="flat" cmpd="sng" algn="ctr">
          <a:solidFill>
            <a:srgbClr val="00FF00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76200</xdr:colOff>
      <xdr:row>0</xdr:row>
      <xdr:rowOff>0</xdr:rowOff>
    </xdr:from>
    <xdr:to>
      <xdr:col>6</xdr:col>
      <xdr:colOff>457200</xdr:colOff>
      <xdr:row>59</xdr:row>
      <xdr:rowOff>52070</xdr:rowOff>
    </xdr:to>
    <xdr:sp macro="" textlink="">
      <xdr:nvSpPr>
        <xdr:cNvPr id="117" name="east_all_base"/>
        <xdr:cNvSpPr/>
      </xdr:nvSpPr>
      <xdr:spPr>
        <a:xfrm>
          <a:off x="762000" y="0"/>
          <a:ext cx="3810000" cy="10167620"/>
        </a:xfrm>
        <a:prstGeom prst="roundRect">
          <a:avLst>
            <a:gd name="adj" fmla="val 100"/>
          </a:avLst>
        </a:prstGeom>
        <a:solidFill>
          <a:srgbClr val="FF0000">
            <a:alpha val="10000"/>
          </a:srgbClr>
        </a:solidFill>
        <a:ln w="12700" cap="flat" cmpd="sng" algn="ctr">
          <a:solidFill>
            <a:srgbClr val="FF0000">
              <a:alpha val="3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8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85090</xdr:rowOff>
    </xdr:from>
    <xdr:to>
      <xdr:col>1</xdr:col>
      <xdr:colOff>76200</xdr:colOff>
      <xdr:row>56</xdr:row>
      <xdr:rowOff>78740</xdr:rowOff>
    </xdr:to>
    <xdr:grpSp>
      <xdr:nvGrpSpPr>
        <xdr:cNvPr id="100" name="time_axis"/>
        <xdr:cNvGrpSpPr/>
      </xdr:nvGrpSpPr>
      <xdr:grpSpPr>
        <a:xfrm>
          <a:off x="0" y="942340"/>
          <a:ext cx="762000" cy="8737600"/>
          <a:chOff x="0" y="0"/>
          <a:chExt cx="762000" cy="8737600"/>
        </a:xfrm>
      </xdr:grpSpPr>
      <xdr:sp macro="" textlink="">
        <xdr:nvSpPr>
          <xdr:cNvPr id="2" name="timeAxis00"/>
          <xdr:cNvSpPr/>
        </xdr:nvSpPr>
        <xdr:spPr>
          <a:xfrm>
            <a:off x="0" y="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09:00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" name="timeAxis01"/>
          <xdr:cNvSpPr/>
        </xdr:nvSpPr>
        <xdr:spPr>
          <a:xfrm>
            <a:off x="0" y="177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09:15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" name="timeAxis02"/>
          <xdr:cNvSpPr/>
        </xdr:nvSpPr>
        <xdr:spPr>
          <a:xfrm>
            <a:off x="0" y="355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09:30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5" name="timeAxis03"/>
          <xdr:cNvSpPr/>
        </xdr:nvSpPr>
        <xdr:spPr>
          <a:xfrm>
            <a:off x="0" y="533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09:45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6" name="timeAxis04"/>
          <xdr:cNvSpPr/>
        </xdr:nvSpPr>
        <xdr:spPr>
          <a:xfrm>
            <a:off x="0" y="711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10:00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7" name="timeAxis05"/>
          <xdr:cNvSpPr/>
        </xdr:nvSpPr>
        <xdr:spPr>
          <a:xfrm>
            <a:off x="0" y="889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10:15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8" name="timeAxis06"/>
          <xdr:cNvSpPr/>
        </xdr:nvSpPr>
        <xdr:spPr>
          <a:xfrm>
            <a:off x="0" y="1066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10:30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9" name="timeAxis07"/>
          <xdr:cNvSpPr/>
        </xdr:nvSpPr>
        <xdr:spPr>
          <a:xfrm>
            <a:off x="0" y="1244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10:45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0" name="timeAxis08"/>
          <xdr:cNvSpPr/>
        </xdr:nvSpPr>
        <xdr:spPr>
          <a:xfrm>
            <a:off x="0" y="1422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11:00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1" name="timeAxis09"/>
          <xdr:cNvSpPr/>
        </xdr:nvSpPr>
        <xdr:spPr>
          <a:xfrm>
            <a:off x="0" y="1600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11:15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2" name="timeAxis10"/>
          <xdr:cNvSpPr/>
        </xdr:nvSpPr>
        <xdr:spPr>
          <a:xfrm>
            <a:off x="0" y="1778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11:30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3" name="timeAxis11"/>
          <xdr:cNvSpPr/>
        </xdr:nvSpPr>
        <xdr:spPr>
          <a:xfrm>
            <a:off x="0" y="1955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11:45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4" name="timeAxis12"/>
          <xdr:cNvSpPr/>
        </xdr:nvSpPr>
        <xdr:spPr>
          <a:xfrm>
            <a:off x="0" y="2133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12:00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5" name="timeAxis13"/>
          <xdr:cNvSpPr/>
        </xdr:nvSpPr>
        <xdr:spPr>
          <a:xfrm>
            <a:off x="0" y="2311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12:15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6" name="timeAxis14"/>
          <xdr:cNvSpPr/>
        </xdr:nvSpPr>
        <xdr:spPr>
          <a:xfrm>
            <a:off x="0" y="2489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12:30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7" name="timeAxis15"/>
          <xdr:cNvSpPr/>
        </xdr:nvSpPr>
        <xdr:spPr>
          <a:xfrm>
            <a:off x="0" y="2667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12:45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8" name="timeAxis16"/>
          <xdr:cNvSpPr/>
        </xdr:nvSpPr>
        <xdr:spPr>
          <a:xfrm>
            <a:off x="0" y="2844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13:00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19" name="timeAxis17"/>
          <xdr:cNvSpPr/>
        </xdr:nvSpPr>
        <xdr:spPr>
          <a:xfrm>
            <a:off x="0" y="3022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13:15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0" name="timeAxis18"/>
          <xdr:cNvSpPr/>
        </xdr:nvSpPr>
        <xdr:spPr>
          <a:xfrm>
            <a:off x="0" y="3200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13:30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1" name="timeAxis19"/>
          <xdr:cNvSpPr/>
        </xdr:nvSpPr>
        <xdr:spPr>
          <a:xfrm>
            <a:off x="0" y="3378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13:45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2" name="timeAxis20"/>
          <xdr:cNvSpPr/>
        </xdr:nvSpPr>
        <xdr:spPr>
          <a:xfrm>
            <a:off x="0" y="3556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14:00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3" name="timeAxis21"/>
          <xdr:cNvSpPr/>
        </xdr:nvSpPr>
        <xdr:spPr>
          <a:xfrm>
            <a:off x="0" y="3733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14:15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4" name="timeAxis22"/>
          <xdr:cNvSpPr/>
        </xdr:nvSpPr>
        <xdr:spPr>
          <a:xfrm>
            <a:off x="0" y="3911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14:30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5" name="timeAxis23"/>
          <xdr:cNvSpPr/>
        </xdr:nvSpPr>
        <xdr:spPr>
          <a:xfrm>
            <a:off x="0" y="4089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14:45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6" name="timeAxis24"/>
          <xdr:cNvSpPr/>
        </xdr:nvSpPr>
        <xdr:spPr>
          <a:xfrm>
            <a:off x="0" y="4267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15:00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7" name="timeAxis25"/>
          <xdr:cNvSpPr/>
        </xdr:nvSpPr>
        <xdr:spPr>
          <a:xfrm>
            <a:off x="0" y="4445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15:15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8" name="timeAxis26"/>
          <xdr:cNvSpPr/>
        </xdr:nvSpPr>
        <xdr:spPr>
          <a:xfrm>
            <a:off x="0" y="4622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15:30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29" name="timeAxis27"/>
          <xdr:cNvSpPr/>
        </xdr:nvSpPr>
        <xdr:spPr>
          <a:xfrm>
            <a:off x="0" y="4800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15:45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0" name="timeAxis28"/>
          <xdr:cNvSpPr/>
        </xdr:nvSpPr>
        <xdr:spPr>
          <a:xfrm>
            <a:off x="0" y="4978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16:00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1" name="timeAxis29"/>
          <xdr:cNvSpPr/>
        </xdr:nvSpPr>
        <xdr:spPr>
          <a:xfrm>
            <a:off x="0" y="5156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16:15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2" name="timeAxis30"/>
          <xdr:cNvSpPr/>
        </xdr:nvSpPr>
        <xdr:spPr>
          <a:xfrm>
            <a:off x="0" y="5334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16:30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3" name="timeAxis31"/>
          <xdr:cNvSpPr/>
        </xdr:nvSpPr>
        <xdr:spPr>
          <a:xfrm>
            <a:off x="0" y="5511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16:45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4" name="timeAxis32"/>
          <xdr:cNvSpPr/>
        </xdr:nvSpPr>
        <xdr:spPr>
          <a:xfrm>
            <a:off x="0" y="5689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17:00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5" name="timeAxis33"/>
          <xdr:cNvSpPr/>
        </xdr:nvSpPr>
        <xdr:spPr>
          <a:xfrm>
            <a:off x="0" y="5867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17:15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6" name="timeAxis34"/>
          <xdr:cNvSpPr/>
        </xdr:nvSpPr>
        <xdr:spPr>
          <a:xfrm>
            <a:off x="0" y="6045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17:30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7" name="timeAxis35"/>
          <xdr:cNvSpPr/>
        </xdr:nvSpPr>
        <xdr:spPr>
          <a:xfrm>
            <a:off x="0" y="6223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17:45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8" name="timeAxis36"/>
          <xdr:cNvSpPr/>
        </xdr:nvSpPr>
        <xdr:spPr>
          <a:xfrm>
            <a:off x="0" y="6400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18:00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39" name="timeAxis37"/>
          <xdr:cNvSpPr/>
        </xdr:nvSpPr>
        <xdr:spPr>
          <a:xfrm>
            <a:off x="0" y="6578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18:15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0" name="timeAxis38"/>
          <xdr:cNvSpPr/>
        </xdr:nvSpPr>
        <xdr:spPr>
          <a:xfrm>
            <a:off x="0" y="6756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18:30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1" name="timeAxis39"/>
          <xdr:cNvSpPr/>
        </xdr:nvSpPr>
        <xdr:spPr>
          <a:xfrm>
            <a:off x="0" y="6934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18:45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2" name="timeAxis40"/>
          <xdr:cNvSpPr/>
        </xdr:nvSpPr>
        <xdr:spPr>
          <a:xfrm>
            <a:off x="0" y="7112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19:00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3" name="timeAxis41"/>
          <xdr:cNvSpPr/>
        </xdr:nvSpPr>
        <xdr:spPr>
          <a:xfrm>
            <a:off x="0" y="7289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19:15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4" name="timeAxis42"/>
          <xdr:cNvSpPr/>
        </xdr:nvSpPr>
        <xdr:spPr>
          <a:xfrm>
            <a:off x="0" y="7467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19:30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5" name="timeAxis43"/>
          <xdr:cNvSpPr/>
        </xdr:nvSpPr>
        <xdr:spPr>
          <a:xfrm>
            <a:off x="0" y="7645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19:45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6" name="timeAxis44"/>
          <xdr:cNvSpPr/>
        </xdr:nvSpPr>
        <xdr:spPr>
          <a:xfrm>
            <a:off x="0" y="78232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20:00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7" name="timeAxis45"/>
          <xdr:cNvSpPr/>
        </xdr:nvSpPr>
        <xdr:spPr>
          <a:xfrm>
            <a:off x="0" y="80010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20:15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8" name="timeAxis46"/>
          <xdr:cNvSpPr/>
        </xdr:nvSpPr>
        <xdr:spPr>
          <a:xfrm>
            <a:off x="0" y="81788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20:30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49" name="timeAxis47"/>
          <xdr:cNvSpPr/>
        </xdr:nvSpPr>
        <xdr:spPr>
          <a:xfrm>
            <a:off x="0" y="83566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20:45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  <xdr:sp macro="" textlink="">
        <xdr:nvSpPr>
          <xdr:cNvPr id="50" name="timeAxis48"/>
          <xdr:cNvSpPr/>
        </xdr:nvSpPr>
        <xdr:spPr>
          <a:xfrm>
            <a:off x="0" y="8534400"/>
            <a:ext cx="762000" cy="203200"/>
          </a:xfrm>
          <a:prstGeom prst="roundRect">
            <a:avLst/>
          </a:prstGeom>
          <a:noFill/>
          <a:ln w="25400" cap="flat" cmpd="sng" algn="ctr">
            <a:noFill/>
            <a:prstDash val="soli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>
                <a:solidFill>
                  <a:srgbClr val="000000"/>
                </a:solidFill>
              </a:rPr>
              <a:t>21:00</a:t>
            </a:r>
            <a:endParaRPr kumimoji="1" lang="ja-JP" altLang="en-US" sz="800" b="1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</xdr:col>
      <xdr:colOff>76200</xdr:colOff>
      <xdr:row>6</xdr:row>
      <xdr:rowOff>25400</xdr:rowOff>
    </xdr:from>
    <xdr:to>
      <xdr:col>25</xdr:col>
      <xdr:colOff>317500</xdr:colOff>
      <xdr:row>55</xdr:row>
      <xdr:rowOff>158750</xdr:rowOff>
    </xdr:to>
    <xdr:grpSp>
      <xdr:nvGrpSpPr>
        <xdr:cNvPr id="101" name="time_axis_scale"/>
        <xdr:cNvGrpSpPr/>
      </xdr:nvGrpSpPr>
      <xdr:grpSpPr>
        <a:xfrm>
          <a:off x="762000" y="1054100"/>
          <a:ext cx="16700500" cy="8534400"/>
          <a:chOff x="1270000" y="0"/>
          <a:chExt cx="1270000" cy="8534400"/>
        </a:xfrm>
      </xdr:grpSpPr>
      <xdr:sp macro="" textlink="">
        <xdr:nvSpPr>
          <xdr:cNvPr id="51" name="timeAxisScale00"/>
          <xdr:cNvSpPr/>
        </xdr:nvSpPr>
        <xdr:spPr>
          <a:xfrm>
            <a:off x="1270000" y="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2" name="timeAxisScale01"/>
          <xdr:cNvSpPr/>
        </xdr:nvSpPr>
        <xdr:spPr>
          <a:xfrm>
            <a:off x="1270000" y="177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3" name="timeAxisScale02"/>
          <xdr:cNvSpPr/>
        </xdr:nvSpPr>
        <xdr:spPr>
          <a:xfrm>
            <a:off x="1270000" y="355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4" name="timeAxisScale03"/>
          <xdr:cNvSpPr/>
        </xdr:nvSpPr>
        <xdr:spPr>
          <a:xfrm>
            <a:off x="1270000" y="533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5" name="timeAxisScale04"/>
          <xdr:cNvSpPr/>
        </xdr:nvSpPr>
        <xdr:spPr>
          <a:xfrm>
            <a:off x="1270000" y="711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6" name="timeAxisScale05"/>
          <xdr:cNvSpPr/>
        </xdr:nvSpPr>
        <xdr:spPr>
          <a:xfrm>
            <a:off x="1270000" y="889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7" name="timeAxisScale06"/>
          <xdr:cNvSpPr/>
        </xdr:nvSpPr>
        <xdr:spPr>
          <a:xfrm>
            <a:off x="1270000" y="1066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8" name="timeAxisScale07"/>
          <xdr:cNvSpPr/>
        </xdr:nvSpPr>
        <xdr:spPr>
          <a:xfrm>
            <a:off x="1270000" y="1244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9" name="timeAxisScale08"/>
          <xdr:cNvSpPr/>
        </xdr:nvSpPr>
        <xdr:spPr>
          <a:xfrm>
            <a:off x="1270000" y="1422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0" name="timeAxisScale09"/>
          <xdr:cNvSpPr/>
        </xdr:nvSpPr>
        <xdr:spPr>
          <a:xfrm>
            <a:off x="1270000" y="1600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1" name="timeAxisScale10"/>
          <xdr:cNvSpPr/>
        </xdr:nvSpPr>
        <xdr:spPr>
          <a:xfrm>
            <a:off x="1270000" y="1778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2" name="timeAxisScale11"/>
          <xdr:cNvSpPr/>
        </xdr:nvSpPr>
        <xdr:spPr>
          <a:xfrm>
            <a:off x="1270000" y="1955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3" name="timeAxisScale12"/>
          <xdr:cNvSpPr/>
        </xdr:nvSpPr>
        <xdr:spPr>
          <a:xfrm>
            <a:off x="1270000" y="2133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4" name="timeAxisScale13"/>
          <xdr:cNvSpPr/>
        </xdr:nvSpPr>
        <xdr:spPr>
          <a:xfrm>
            <a:off x="1270000" y="2311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5" name="timeAxisScale14"/>
          <xdr:cNvSpPr/>
        </xdr:nvSpPr>
        <xdr:spPr>
          <a:xfrm>
            <a:off x="1270000" y="2489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6" name="timeAxisScale15"/>
          <xdr:cNvSpPr/>
        </xdr:nvSpPr>
        <xdr:spPr>
          <a:xfrm>
            <a:off x="1270000" y="2667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7" name="timeAxisScale16"/>
          <xdr:cNvSpPr/>
        </xdr:nvSpPr>
        <xdr:spPr>
          <a:xfrm>
            <a:off x="1270000" y="2844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8" name="timeAxisScale17"/>
          <xdr:cNvSpPr/>
        </xdr:nvSpPr>
        <xdr:spPr>
          <a:xfrm>
            <a:off x="1270000" y="3022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69" name="timeAxisScale18"/>
          <xdr:cNvSpPr/>
        </xdr:nvSpPr>
        <xdr:spPr>
          <a:xfrm>
            <a:off x="1270000" y="3200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0" name="timeAxisScale19"/>
          <xdr:cNvSpPr/>
        </xdr:nvSpPr>
        <xdr:spPr>
          <a:xfrm>
            <a:off x="1270000" y="3378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1" name="timeAxisScale20"/>
          <xdr:cNvSpPr/>
        </xdr:nvSpPr>
        <xdr:spPr>
          <a:xfrm>
            <a:off x="1270000" y="3556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2" name="timeAxisScale21"/>
          <xdr:cNvSpPr/>
        </xdr:nvSpPr>
        <xdr:spPr>
          <a:xfrm>
            <a:off x="1270000" y="3733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3" name="timeAxisScale22"/>
          <xdr:cNvSpPr/>
        </xdr:nvSpPr>
        <xdr:spPr>
          <a:xfrm>
            <a:off x="1270000" y="3911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4" name="timeAxisScale23"/>
          <xdr:cNvSpPr/>
        </xdr:nvSpPr>
        <xdr:spPr>
          <a:xfrm>
            <a:off x="1270000" y="4089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5" name="timeAxisScale24"/>
          <xdr:cNvSpPr/>
        </xdr:nvSpPr>
        <xdr:spPr>
          <a:xfrm>
            <a:off x="1270000" y="4267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6" name="timeAxisScale25"/>
          <xdr:cNvSpPr/>
        </xdr:nvSpPr>
        <xdr:spPr>
          <a:xfrm>
            <a:off x="1270000" y="4445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7" name="timeAxisScale26"/>
          <xdr:cNvSpPr/>
        </xdr:nvSpPr>
        <xdr:spPr>
          <a:xfrm>
            <a:off x="1270000" y="4622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8" name="timeAxisScale27"/>
          <xdr:cNvSpPr/>
        </xdr:nvSpPr>
        <xdr:spPr>
          <a:xfrm>
            <a:off x="1270000" y="4800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9" name="timeAxisScale28"/>
          <xdr:cNvSpPr/>
        </xdr:nvSpPr>
        <xdr:spPr>
          <a:xfrm>
            <a:off x="1270000" y="4978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0" name="timeAxisScale29"/>
          <xdr:cNvSpPr/>
        </xdr:nvSpPr>
        <xdr:spPr>
          <a:xfrm>
            <a:off x="1270000" y="5156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1" name="timeAxisScale30"/>
          <xdr:cNvSpPr/>
        </xdr:nvSpPr>
        <xdr:spPr>
          <a:xfrm>
            <a:off x="1270000" y="5334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2" name="timeAxisScale31"/>
          <xdr:cNvSpPr/>
        </xdr:nvSpPr>
        <xdr:spPr>
          <a:xfrm>
            <a:off x="1270000" y="5511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3" name="timeAxisScale32"/>
          <xdr:cNvSpPr/>
        </xdr:nvSpPr>
        <xdr:spPr>
          <a:xfrm>
            <a:off x="1270000" y="5689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" name="timeAxisScale33"/>
          <xdr:cNvSpPr/>
        </xdr:nvSpPr>
        <xdr:spPr>
          <a:xfrm>
            <a:off x="1270000" y="5867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" name="timeAxisScale34"/>
          <xdr:cNvSpPr/>
        </xdr:nvSpPr>
        <xdr:spPr>
          <a:xfrm>
            <a:off x="1270000" y="6045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" name="timeAxisScale35"/>
          <xdr:cNvSpPr/>
        </xdr:nvSpPr>
        <xdr:spPr>
          <a:xfrm>
            <a:off x="1270000" y="6223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" name="timeAxisScale36"/>
          <xdr:cNvSpPr/>
        </xdr:nvSpPr>
        <xdr:spPr>
          <a:xfrm>
            <a:off x="1270000" y="6400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" name="timeAxisScale37"/>
          <xdr:cNvSpPr/>
        </xdr:nvSpPr>
        <xdr:spPr>
          <a:xfrm>
            <a:off x="1270000" y="6578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" name="timeAxisScale38"/>
          <xdr:cNvSpPr/>
        </xdr:nvSpPr>
        <xdr:spPr>
          <a:xfrm>
            <a:off x="1270000" y="6756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" name="timeAxisScale39"/>
          <xdr:cNvSpPr/>
        </xdr:nvSpPr>
        <xdr:spPr>
          <a:xfrm>
            <a:off x="1270000" y="6934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1" name="timeAxisScale40"/>
          <xdr:cNvSpPr/>
        </xdr:nvSpPr>
        <xdr:spPr>
          <a:xfrm>
            <a:off x="1270000" y="7112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2" name="timeAxisScale41"/>
          <xdr:cNvSpPr/>
        </xdr:nvSpPr>
        <xdr:spPr>
          <a:xfrm>
            <a:off x="1270000" y="7289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3" name="timeAxisScale42"/>
          <xdr:cNvSpPr/>
        </xdr:nvSpPr>
        <xdr:spPr>
          <a:xfrm>
            <a:off x="1270000" y="7467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4" name="timeAxisScale43"/>
          <xdr:cNvSpPr/>
        </xdr:nvSpPr>
        <xdr:spPr>
          <a:xfrm>
            <a:off x="1270000" y="7645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5" name="timeAxisScale44"/>
          <xdr:cNvSpPr/>
        </xdr:nvSpPr>
        <xdr:spPr>
          <a:xfrm>
            <a:off x="1270000" y="78232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6" name="timeAxisScale45"/>
          <xdr:cNvSpPr/>
        </xdr:nvSpPr>
        <xdr:spPr>
          <a:xfrm>
            <a:off x="1270000" y="80010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7" name="timeAxisScale46"/>
          <xdr:cNvSpPr/>
        </xdr:nvSpPr>
        <xdr:spPr>
          <a:xfrm>
            <a:off x="1270000" y="81788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8" name="timeAxisScale47"/>
          <xdr:cNvSpPr/>
        </xdr:nvSpPr>
        <xdr:spPr>
          <a:xfrm>
            <a:off x="1270000" y="83566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9" name="timeAxisScale48"/>
          <xdr:cNvSpPr/>
        </xdr:nvSpPr>
        <xdr:spPr>
          <a:xfrm>
            <a:off x="1270000" y="8534400"/>
            <a:ext cx="1270000" cy="0"/>
          </a:xfrm>
          <a:prstGeom prst="rect">
            <a:avLst/>
          </a:prstGeom>
          <a:ln w="6350" cap="flat" cmpd="sng" algn="ctr">
            <a:solidFill>
              <a:srgbClr val="808080">
                <a:alpha val="7000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76200</xdr:colOff>
      <xdr:row>0</xdr:row>
      <xdr:rowOff>0</xdr:rowOff>
    </xdr:from>
    <xdr:to>
      <xdr:col>6</xdr:col>
      <xdr:colOff>457200</xdr:colOff>
      <xdr:row>3</xdr:row>
      <xdr:rowOff>31750</xdr:rowOff>
    </xdr:to>
    <xdr:grpSp>
      <xdr:nvGrpSpPr>
        <xdr:cNvPr id="105" name="east_Detail"/>
        <xdr:cNvGrpSpPr/>
      </xdr:nvGrpSpPr>
      <xdr:grpSpPr>
        <a:xfrm>
          <a:off x="762000" y="0"/>
          <a:ext cx="3810000" cy="546100"/>
          <a:chOff x="0" y="0"/>
          <a:chExt cx="3810000" cy="546100"/>
        </a:xfrm>
      </xdr:grpSpPr>
      <xdr:sp macro="" textlink="">
        <xdr:nvSpPr>
          <xdr:cNvPr id="102" name="east_stage_name"/>
          <xdr:cNvSpPr/>
        </xdr:nvSpPr>
        <xdr:spPr>
          <a:xfrm>
            <a:off x="63500" y="63500"/>
            <a:ext cx="368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spotify-o-east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03" name="east_stage_place"/>
          <xdr:cNvSpPr/>
        </xdr:nvSpPr>
        <xdr:spPr>
          <a:xfrm>
            <a:off x="63500" y="304800"/>
            <a:ext cx="368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ja-JP" altLang="en-US" sz="600" b="1">
                <a:solidFill>
                  <a:srgbClr val="000000"/>
                </a:solidFill>
              </a:rPr>
              <a:t>イースト</a:t>
            </a:r>
          </a:p>
        </xdr:txBody>
      </xdr:sp>
      <xdr:sp macro="" textlink="">
        <xdr:nvSpPr>
          <xdr:cNvPr id="104" name="east_detail_base"/>
          <xdr:cNvSpPr/>
        </xdr:nvSpPr>
        <xdr:spPr>
          <a:xfrm>
            <a:off x="0" y="0"/>
            <a:ext cx="381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</xdr:col>
      <xdr:colOff>76200</xdr:colOff>
      <xdr:row>3</xdr:row>
      <xdr:rowOff>31750</xdr:rowOff>
    </xdr:from>
    <xdr:to>
      <xdr:col>6</xdr:col>
      <xdr:colOff>457200</xdr:colOff>
      <xdr:row>59</xdr:row>
      <xdr:rowOff>52070</xdr:rowOff>
    </xdr:to>
    <xdr:grpSp>
      <xdr:nvGrpSpPr>
        <xdr:cNvPr id="116" name="east_TimeTable"/>
        <xdr:cNvGrpSpPr/>
      </xdr:nvGrpSpPr>
      <xdr:grpSpPr>
        <a:xfrm>
          <a:off x="762000" y="546100"/>
          <a:ext cx="3810000" cy="9621520"/>
          <a:chOff x="0" y="0"/>
          <a:chExt cx="3810000" cy="9621520"/>
        </a:xfrm>
      </xdr:grpSpPr>
      <xdr:sp macro="" textlink="">
        <xdr:nvSpPr>
          <xdr:cNvPr id="106" name="east_base"/>
          <xdr:cNvSpPr/>
        </xdr:nvSpPr>
        <xdr:spPr>
          <a:xfrm>
            <a:off x="0" y="508000"/>
            <a:ext cx="3810000" cy="911352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107" name="east_1_under"/>
          <xdr:cNvSpPr/>
        </xdr:nvSpPr>
        <xdr:spPr>
          <a:xfrm>
            <a:off x="63500" y="5270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8" name="east_1_text"/>
          <xdr:cNvSpPr/>
        </xdr:nvSpPr>
        <xdr:spPr>
          <a:xfrm>
            <a:off x="63500" y="0"/>
            <a:ext cx="1143000" cy="12530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ja-JP" altLang="en-US" sz="1100" b="1">
                <a:solidFill>
                  <a:srgbClr val="000000"/>
                </a:solidFill>
              </a:rPr>
              <a:t>宮本佳林</a:t>
            </a:r>
            <a:r>
              <a:rPr kumimoji="1" lang="ja-JP" altLang="en-US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09:00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09:20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110" name="east_2_under"/>
          <xdr:cNvSpPr/>
        </xdr:nvSpPr>
        <xdr:spPr>
          <a:xfrm>
            <a:off x="1333500" y="882650"/>
            <a:ext cx="1143000" cy="80433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11" name="east_2_text"/>
          <xdr:cNvSpPr/>
        </xdr:nvSpPr>
        <xdr:spPr>
          <a:xfrm>
            <a:off x="1333500" y="355600"/>
            <a:ext cx="1143000" cy="1134533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JamsCollection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09:30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09:40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113" name="east_3_under"/>
          <xdr:cNvSpPr/>
        </xdr:nvSpPr>
        <xdr:spPr>
          <a:xfrm>
            <a:off x="2603500" y="1475317"/>
            <a:ext cx="1143000" cy="198966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14" name="east_3_text"/>
          <xdr:cNvSpPr/>
        </xdr:nvSpPr>
        <xdr:spPr>
          <a:xfrm>
            <a:off x="2603500" y="948267"/>
            <a:ext cx="1143000" cy="1253066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Girls²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10:20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10:40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109" name="east_1_up"/>
          <xdr:cNvSpPr/>
        </xdr:nvSpPr>
        <xdr:spPr>
          <a:xfrm>
            <a:off x="63500" y="5270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112" name="east_2_up"/>
          <xdr:cNvSpPr/>
        </xdr:nvSpPr>
        <xdr:spPr>
          <a:xfrm>
            <a:off x="1333500" y="882650"/>
            <a:ext cx="1143000" cy="80433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115" name="east_3_up"/>
          <xdr:cNvSpPr/>
        </xdr:nvSpPr>
        <xdr:spPr>
          <a:xfrm>
            <a:off x="2603500" y="1475317"/>
            <a:ext cx="1143000" cy="198966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520700</xdr:colOff>
      <xdr:row>0</xdr:row>
      <xdr:rowOff>0</xdr:rowOff>
    </xdr:from>
    <xdr:to>
      <xdr:col>14</xdr:col>
      <xdr:colOff>114300</xdr:colOff>
      <xdr:row>3</xdr:row>
      <xdr:rowOff>31750</xdr:rowOff>
    </xdr:to>
    <xdr:grpSp>
      <xdr:nvGrpSpPr>
        <xdr:cNvPr id="121" name="west_Detail"/>
        <xdr:cNvGrpSpPr/>
      </xdr:nvGrpSpPr>
      <xdr:grpSpPr>
        <a:xfrm>
          <a:off x="4635500" y="0"/>
          <a:ext cx="5080000" cy="546100"/>
          <a:chOff x="0" y="0"/>
          <a:chExt cx="5080000" cy="546100"/>
        </a:xfrm>
      </xdr:grpSpPr>
      <xdr:sp macro="" textlink="">
        <xdr:nvSpPr>
          <xdr:cNvPr id="118" name="west_stage_name"/>
          <xdr:cNvSpPr/>
        </xdr:nvSpPr>
        <xdr:spPr>
          <a:xfrm>
            <a:off x="63500" y="63500"/>
            <a:ext cx="495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spotify-o-west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19" name="west_stage_place"/>
          <xdr:cNvSpPr/>
        </xdr:nvSpPr>
        <xdr:spPr>
          <a:xfrm>
            <a:off x="63500" y="304800"/>
            <a:ext cx="495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west²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20" name="west_detail_base"/>
          <xdr:cNvSpPr/>
        </xdr:nvSpPr>
        <xdr:spPr>
          <a:xfrm>
            <a:off x="0" y="0"/>
            <a:ext cx="508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6</xdr:col>
      <xdr:colOff>520700</xdr:colOff>
      <xdr:row>3</xdr:row>
      <xdr:rowOff>31750</xdr:rowOff>
    </xdr:from>
    <xdr:to>
      <xdr:col>14</xdr:col>
      <xdr:colOff>114300</xdr:colOff>
      <xdr:row>59</xdr:row>
      <xdr:rowOff>52070</xdr:rowOff>
    </xdr:to>
    <xdr:grpSp>
      <xdr:nvGrpSpPr>
        <xdr:cNvPr id="129" name="west_TimeTable"/>
        <xdr:cNvGrpSpPr/>
      </xdr:nvGrpSpPr>
      <xdr:grpSpPr>
        <a:xfrm>
          <a:off x="4635500" y="546100"/>
          <a:ext cx="5080000" cy="9621520"/>
          <a:chOff x="0" y="0"/>
          <a:chExt cx="5080000" cy="9621520"/>
        </a:xfrm>
      </xdr:grpSpPr>
      <xdr:sp macro="" textlink="">
        <xdr:nvSpPr>
          <xdr:cNvPr id="122" name="west_base"/>
          <xdr:cNvSpPr/>
        </xdr:nvSpPr>
        <xdr:spPr>
          <a:xfrm>
            <a:off x="0" y="508000"/>
            <a:ext cx="5080000" cy="911352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123" name="west_4_under"/>
          <xdr:cNvSpPr/>
        </xdr:nvSpPr>
        <xdr:spPr>
          <a:xfrm>
            <a:off x="3873500" y="5270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4" name="west_4_text"/>
          <xdr:cNvSpPr/>
        </xdr:nvSpPr>
        <xdr:spPr>
          <a:xfrm>
            <a:off x="3873500" y="0"/>
            <a:ext cx="1143000" cy="12530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Lucky²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09:00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09:20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126" name="west_5_under"/>
          <xdr:cNvSpPr/>
        </xdr:nvSpPr>
        <xdr:spPr>
          <a:xfrm>
            <a:off x="63500" y="1475317"/>
            <a:ext cx="1143000" cy="198966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7" name="west_5_text"/>
          <xdr:cNvSpPr/>
        </xdr:nvSpPr>
        <xdr:spPr>
          <a:xfrm>
            <a:off x="63500" y="948267"/>
            <a:ext cx="1143000" cy="1253066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FES☆TIVE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10:20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10:40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125" name="west_4_up"/>
          <xdr:cNvSpPr/>
        </xdr:nvSpPr>
        <xdr:spPr>
          <a:xfrm>
            <a:off x="3873500" y="5270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128" name="west_5_up"/>
          <xdr:cNvSpPr/>
        </xdr:nvSpPr>
        <xdr:spPr>
          <a:xfrm>
            <a:off x="63500" y="1475317"/>
            <a:ext cx="1143000" cy="198966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14</xdr:col>
      <xdr:colOff>177800</xdr:colOff>
      <xdr:row>0</xdr:row>
      <xdr:rowOff>0</xdr:rowOff>
    </xdr:from>
    <xdr:to>
      <xdr:col>17</xdr:col>
      <xdr:colOff>660400</xdr:colOff>
      <xdr:row>3</xdr:row>
      <xdr:rowOff>31750</xdr:rowOff>
    </xdr:to>
    <xdr:grpSp>
      <xdr:nvGrpSpPr>
        <xdr:cNvPr id="134" name="womb_Detail"/>
        <xdr:cNvGrpSpPr/>
      </xdr:nvGrpSpPr>
      <xdr:grpSpPr>
        <a:xfrm>
          <a:off x="9779000" y="0"/>
          <a:ext cx="2540000" cy="546100"/>
          <a:chOff x="0" y="0"/>
          <a:chExt cx="2540000" cy="546100"/>
        </a:xfrm>
      </xdr:grpSpPr>
      <xdr:sp macro="" textlink="">
        <xdr:nvSpPr>
          <xdr:cNvPr id="131" name="womb_stage_name"/>
          <xdr:cNvSpPr/>
        </xdr:nvSpPr>
        <xdr:spPr>
          <a:xfrm>
            <a:off x="63500" y="63500"/>
            <a:ext cx="241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womb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32" name="womb_stage_place"/>
          <xdr:cNvSpPr/>
        </xdr:nvSpPr>
        <xdr:spPr>
          <a:xfrm>
            <a:off x="63500" y="304800"/>
            <a:ext cx="241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WONB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33" name="womb_detail_base"/>
          <xdr:cNvSpPr/>
        </xdr:nvSpPr>
        <xdr:spPr>
          <a:xfrm>
            <a:off x="0" y="0"/>
            <a:ext cx="254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14</xdr:col>
      <xdr:colOff>177800</xdr:colOff>
      <xdr:row>3</xdr:row>
      <xdr:rowOff>31750</xdr:rowOff>
    </xdr:from>
    <xdr:to>
      <xdr:col>17</xdr:col>
      <xdr:colOff>660400</xdr:colOff>
      <xdr:row>56</xdr:row>
      <xdr:rowOff>58420</xdr:rowOff>
    </xdr:to>
    <xdr:grpSp>
      <xdr:nvGrpSpPr>
        <xdr:cNvPr id="139" name="womb_TimeTable"/>
        <xdr:cNvGrpSpPr/>
      </xdr:nvGrpSpPr>
      <xdr:grpSpPr>
        <a:xfrm>
          <a:off x="9779000" y="546100"/>
          <a:ext cx="2540000" cy="9113520"/>
          <a:chOff x="0" y="508000"/>
          <a:chExt cx="2540000" cy="9113520"/>
        </a:xfrm>
      </xdr:grpSpPr>
      <xdr:sp macro="" textlink="">
        <xdr:nvSpPr>
          <xdr:cNvPr id="135" name="womb_base"/>
          <xdr:cNvSpPr/>
        </xdr:nvSpPr>
        <xdr:spPr>
          <a:xfrm>
            <a:off x="0" y="508000"/>
            <a:ext cx="2540000" cy="911352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136" name="womb_6_under"/>
          <xdr:cNvSpPr/>
        </xdr:nvSpPr>
        <xdr:spPr>
          <a:xfrm>
            <a:off x="1333500" y="19494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7" name="womb_6_text"/>
          <xdr:cNvSpPr/>
        </xdr:nvSpPr>
        <xdr:spPr>
          <a:xfrm>
            <a:off x="1333500" y="1422400"/>
            <a:ext cx="1143000" cy="12530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UtaGe!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11:00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11:20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138" name="womb_6_up"/>
          <xdr:cNvSpPr/>
        </xdr:nvSpPr>
        <xdr:spPr>
          <a:xfrm>
            <a:off x="1333500" y="19494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18</xdr:col>
      <xdr:colOff>38100</xdr:colOff>
      <xdr:row>0</xdr:row>
      <xdr:rowOff>0</xdr:rowOff>
    </xdr:from>
    <xdr:to>
      <xdr:col>25</xdr:col>
      <xdr:colOff>317500</xdr:colOff>
      <xdr:row>3</xdr:row>
      <xdr:rowOff>31750</xdr:rowOff>
    </xdr:to>
    <xdr:grpSp>
      <xdr:nvGrpSpPr>
        <xdr:cNvPr id="144" name="vident_Detail"/>
        <xdr:cNvGrpSpPr/>
      </xdr:nvGrpSpPr>
      <xdr:grpSpPr>
        <a:xfrm>
          <a:off x="12382500" y="0"/>
          <a:ext cx="5080000" cy="546100"/>
          <a:chOff x="0" y="0"/>
          <a:chExt cx="5080000" cy="546100"/>
        </a:xfrm>
      </xdr:grpSpPr>
      <xdr:sp macro="" textlink="">
        <xdr:nvSpPr>
          <xdr:cNvPr id="141" name="vident_stage_name"/>
          <xdr:cNvSpPr/>
        </xdr:nvSpPr>
        <xdr:spPr>
          <a:xfrm>
            <a:off x="63500" y="63500"/>
            <a:ext cx="495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vident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42" name="vident_stage_place"/>
          <xdr:cNvSpPr/>
        </xdr:nvSpPr>
        <xdr:spPr>
          <a:xfrm>
            <a:off x="63500" y="304800"/>
            <a:ext cx="4953000" cy="177800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kumimoji="1" lang="en-US" altLang="ja-JP" sz="600" b="1">
                <a:solidFill>
                  <a:srgbClr val="000000"/>
                </a:solidFill>
              </a:rPr>
              <a:t>VIDENT</a:t>
            </a:r>
            <a:endParaRPr kumimoji="1" lang="ja-JP" altLang="en-US" sz="600" b="1">
              <a:solidFill>
                <a:srgbClr val="000000"/>
              </a:solidFill>
            </a:endParaRPr>
          </a:p>
        </xdr:txBody>
      </xdr:sp>
      <xdr:sp macro="" textlink="">
        <xdr:nvSpPr>
          <xdr:cNvPr id="143" name="vident_detail_base"/>
          <xdr:cNvSpPr/>
        </xdr:nvSpPr>
        <xdr:spPr>
          <a:xfrm>
            <a:off x="0" y="0"/>
            <a:ext cx="5080000" cy="54610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800">
              <a:solidFill>
                <a:srgbClr val="000000"/>
              </a:solidFill>
            </a:endParaRPr>
          </a:p>
        </xdr:txBody>
      </xdr:sp>
    </xdr:grpSp>
    <xdr:clientData/>
  </xdr:twoCellAnchor>
  <xdr:twoCellAnchor>
    <xdr:from>
      <xdr:col>18</xdr:col>
      <xdr:colOff>38100</xdr:colOff>
      <xdr:row>3</xdr:row>
      <xdr:rowOff>31750</xdr:rowOff>
    </xdr:from>
    <xdr:to>
      <xdr:col>25</xdr:col>
      <xdr:colOff>317500</xdr:colOff>
      <xdr:row>56</xdr:row>
      <xdr:rowOff>58420</xdr:rowOff>
    </xdr:to>
    <xdr:grpSp>
      <xdr:nvGrpSpPr>
        <xdr:cNvPr id="152" name="vident_TimeTable"/>
        <xdr:cNvGrpSpPr/>
      </xdr:nvGrpSpPr>
      <xdr:grpSpPr>
        <a:xfrm>
          <a:off x="12382500" y="546100"/>
          <a:ext cx="5080000" cy="9113520"/>
          <a:chOff x="0" y="508000"/>
          <a:chExt cx="5080000" cy="9113520"/>
        </a:xfrm>
      </xdr:grpSpPr>
      <xdr:sp macro="" textlink="">
        <xdr:nvSpPr>
          <xdr:cNvPr id="145" name="vident_base"/>
          <xdr:cNvSpPr/>
        </xdr:nvSpPr>
        <xdr:spPr>
          <a:xfrm>
            <a:off x="0" y="508000"/>
            <a:ext cx="5080000" cy="9113520"/>
          </a:xfrm>
          <a:prstGeom prst="roundRect">
            <a:avLst>
              <a:gd name="adj" fmla="val 100"/>
            </a:avLst>
          </a:prstGeom>
          <a:solidFill>
            <a:srgbClr val="000000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1" lang="ja-JP" altLang="en-US" sz="600">
              <a:solidFill>
                <a:srgbClr val="000000"/>
              </a:solidFill>
            </a:endParaRPr>
          </a:p>
        </xdr:txBody>
      </xdr:sp>
      <xdr:sp macro="" textlink="">
        <xdr:nvSpPr>
          <xdr:cNvPr id="146" name="vident_7_under"/>
          <xdr:cNvSpPr/>
        </xdr:nvSpPr>
        <xdr:spPr>
          <a:xfrm>
            <a:off x="2603500" y="2897717"/>
            <a:ext cx="1143000" cy="198966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7" name="vident_7_text"/>
          <xdr:cNvSpPr/>
        </xdr:nvSpPr>
        <xdr:spPr>
          <a:xfrm>
            <a:off x="2603500" y="2370667"/>
            <a:ext cx="1143000" cy="1253066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en-US" altLang="ja-JP" sz="1100" b="1">
                <a:solidFill>
                  <a:srgbClr val="000000"/>
                </a:solidFill>
              </a:rPr>
              <a:t>INUWASI</a:t>
            </a:r>
            <a:r>
              <a:rPr kumimoji="1" lang="en-US" altLang="ja-JP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12:20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12:40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" textlink="">
        <xdr:nvSpPr>
          <xdr:cNvPr id="149" name="vident_8_under"/>
          <xdr:cNvSpPr/>
        </xdr:nvSpPr>
        <xdr:spPr>
          <a:xfrm>
            <a:off x="3873500" y="40830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/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0" name="vident_8_text"/>
          <xdr:cNvSpPr/>
        </xdr:nvSpPr>
        <xdr:spPr>
          <a:xfrm>
            <a:off x="3873500" y="3556000"/>
            <a:ext cx="1143000" cy="1253067"/>
          </a:xfrm>
          <a:prstGeom prst="rect">
            <a:avLst/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>
                <a:alpha val="0"/>
              </a:srgb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kumimoji="1" lang="ja-JP" altLang="en-US" sz="1100" b="1">
                <a:solidFill>
                  <a:srgbClr val="000000"/>
                </a:solidFill>
              </a:rPr>
              <a:t>わーすた</a:t>
            </a:r>
            <a:r>
              <a:rPr kumimoji="1" lang="ja-JP" altLang="en-US" sz="1100"/>
              <a:t>
</a:t>
            </a:r>
            <a:r>
              <a:rPr kumimoji="1" lang="en-US" altLang="ja-JP" sz="1100" b="1">
                <a:solidFill>
                  <a:srgbClr val="00C8C8"/>
                </a:solidFill>
              </a:rPr>
              <a:t>14:00 </a:t>
            </a:r>
            <a:r>
              <a:rPr kumimoji="1" lang="ja-JP" altLang="en-US" sz="1100" b="1">
                <a:solidFill>
                  <a:srgbClr val="00C8C8"/>
                </a:solidFill>
              </a:rPr>
              <a:t>～ </a:t>
            </a:r>
            <a:r>
              <a:rPr kumimoji="1" lang="en-US" altLang="ja-JP" sz="1100" b="1">
                <a:solidFill>
                  <a:srgbClr val="00C8C8"/>
                </a:solidFill>
              </a:rPr>
              <a:t>14:20</a:t>
            </a:r>
            <a:endParaRPr kumimoji="1" lang="ja-JP" altLang="en-US" sz="1100" b="1">
              <a:solidFill>
                <a:srgbClr val="00C8C8"/>
              </a:solidFill>
            </a:endParaRPr>
          </a:p>
        </xdr:txBody>
      </xdr:sp>
      <xdr:sp macro="Shape_DoubleClick" textlink="">
        <xdr:nvSpPr>
          <xdr:cNvPr id="148" name="vident_7_up"/>
          <xdr:cNvSpPr/>
        </xdr:nvSpPr>
        <xdr:spPr>
          <a:xfrm>
            <a:off x="2603500" y="2897717"/>
            <a:ext cx="1143000" cy="198966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  <xdr:sp macro="Shape_DoubleClick" textlink="">
        <xdr:nvSpPr>
          <xdr:cNvPr id="151" name="vident_8_up"/>
          <xdr:cNvSpPr/>
        </xdr:nvSpPr>
        <xdr:spPr>
          <a:xfrm>
            <a:off x="3873500" y="4083050"/>
            <a:ext cx="1143000" cy="198967"/>
          </a:xfrm>
          <a:prstGeom prst="roundRect">
            <a:avLst>
              <a:gd name="adj" fmla="val 7000"/>
            </a:avLst>
          </a:prstGeom>
          <a:solidFill>
            <a:srgbClr val="FFFFFF">
              <a:alpha val="0"/>
            </a:srgbClr>
          </a:solidFill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3" sqref="F13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astart">
                <anchor moveWithCells="1" sizeWithCells="1">
                  <from>
                    <xdr:col>3</xdr:col>
                    <xdr:colOff>38100</xdr:colOff>
                    <xdr:row>2</xdr:row>
                    <xdr:rowOff>123825</xdr:rowOff>
                  </from>
                  <to>
                    <xdr:col>6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22"/>
  <sheetViews>
    <sheetView workbookViewId="0">
      <selection activeCell="D11" sqref="D11"/>
    </sheetView>
  </sheetViews>
  <sheetFormatPr defaultRowHeight="13.5" x14ac:dyDescent="0.15"/>
  <cols>
    <col min="1" max="1" width="20.375" bestFit="1" customWidth="1"/>
    <col min="2" max="2" width="9" style="1"/>
  </cols>
  <sheetData>
    <row r="1" spans="1:2" s="3" customFormat="1" x14ac:dyDescent="0.15">
      <c r="A1" s="3" t="s">
        <v>2</v>
      </c>
      <c r="B1" s="1" t="s">
        <v>54</v>
      </c>
    </row>
    <row r="2" spans="1:2" x14ac:dyDescent="0.15">
      <c r="A2" t="s">
        <v>3</v>
      </c>
      <c r="B2" s="1" t="s">
        <v>30</v>
      </c>
    </row>
    <row r="3" spans="1:2" x14ac:dyDescent="0.15">
      <c r="A3" t="s">
        <v>4</v>
      </c>
      <c r="B3" s="1" t="s">
        <v>132</v>
      </c>
    </row>
    <row r="4" spans="1:2" x14ac:dyDescent="0.15">
      <c r="A4" t="s">
        <v>5</v>
      </c>
      <c r="B4" s="1" t="s">
        <v>131</v>
      </c>
    </row>
    <row r="5" spans="1:2" x14ac:dyDescent="0.15">
      <c r="A5" t="s">
        <v>6</v>
      </c>
      <c r="B5" s="1" t="s">
        <v>56</v>
      </c>
    </row>
    <row r="6" spans="1:2" x14ac:dyDescent="0.15">
      <c r="A6" t="s">
        <v>48</v>
      </c>
      <c r="B6" s="1" t="s">
        <v>57</v>
      </c>
    </row>
    <row r="7" spans="1:2" x14ac:dyDescent="0.15">
      <c r="A7" t="s">
        <v>58</v>
      </c>
      <c r="B7" s="1" t="s">
        <v>35</v>
      </c>
    </row>
    <row r="8" spans="1:2" x14ac:dyDescent="0.15">
      <c r="A8" t="s">
        <v>7</v>
      </c>
      <c r="B8" s="1" t="s">
        <v>59</v>
      </c>
    </row>
    <row r="9" spans="1:2" x14ac:dyDescent="0.15">
      <c r="A9" t="s">
        <v>60</v>
      </c>
      <c r="B9" s="1" t="s">
        <v>36</v>
      </c>
    </row>
    <row r="10" spans="1:2" s="3" customFormat="1" x14ac:dyDescent="0.15">
      <c r="A10" s="3" t="s">
        <v>61</v>
      </c>
      <c r="B10" s="1" t="s">
        <v>37</v>
      </c>
    </row>
    <row r="11" spans="1:2" x14ac:dyDescent="0.15">
      <c r="A11" s="3" t="s">
        <v>8</v>
      </c>
      <c r="B11" s="1" t="s">
        <v>133</v>
      </c>
    </row>
    <row r="12" spans="1:2" x14ac:dyDescent="0.15">
      <c r="A12" t="s">
        <v>9</v>
      </c>
      <c r="B12" s="1" t="s">
        <v>38</v>
      </c>
    </row>
    <row r="13" spans="1:2" x14ac:dyDescent="0.15">
      <c r="A13" t="s">
        <v>10</v>
      </c>
      <c r="B13" s="1" t="s">
        <v>39</v>
      </c>
    </row>
    <row r="14" spans="1:2" x14ac:dyDescent="0.15">
      <c r="A14" t="s">
        <v>11</v>
      </c>
      <c r="B14" s="1" t="s">
        <v>34</v>
      </c>
    </row>
    <row r="15" spans="1:2" x14ac:dyDescent="0.15">
      <c r="A15" t="s">
        <v>12</v>
      </c>
      <c r="B15" s="1" t="s">
        <v>41</v>
      </c>
    </row>
    <row r="16" spans="1:2" x14ac:dyDescent="0.15">
      <c r="A16" t="s">
        <v>13</v>
      </c>
      <c r="B16" s="1" t="s">
        <v>41</v>
      </c>
    </row>
    <row r="17" spans="1:2" x14ac:dyDescent="0.15">
      <c r="A17" t="s">
        <v>14</v>
      </c>
      <c r="B17" s="1" t="s">
        <v>41</v>
      </c>
    </row>
    <row r="18" spans="1:2" x14ac:dyDescent="0.15">
      <c r="A18" t="s">
        <v>15</v>
      </c>
      <c r="B18" s="1" t="s">
        <v>42</v>
      </c>
    </row>
    <row r="19" spans="1:2" x14ac:dyDescent="0.15">
      <c r="A19" t="s">
        <v>16</v>
      </c>
      <c r="B19" s="1" t="s">
        <v>37</v>
      </c>
    </row>
    <row r="20" spans="1:2" x14ac:dyDescent="0.15">
      <c r="A20" t="s">
        <v>17</v>
      </c>
      <c r="B20" s="1" t="s">
        <v>40</v>
      </c>
    </row>
    <row r="21" spans="1:2" x14ac:dyDescent="0.15">
      <c r="A21" t="s">
        <v>18</v>
      </c>
      <c r="B21" s="1" t="s">
        <v>43</v>
      </c>
    </row>
    <row r="22" spans="1:2" x14ac:dyDescent="0.15">
      <c r="A22" t="s">
        <v>33</v>
      </c>
      <c r="B22" s="1" t="s">
        <v>62</v>
      </c>
    </row>
  </sheetData>
  <phoneticPr fontId="1"/>
  <pageMargins left="3.937007874015748E-2" right="0.23622047244094491" top="0.15748031496062992" bottom="0.15748031496062992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astart">
                <anchor moveWithCells="1" sizeWithCells="1">
                  <from>
                    <xdr:col>4</xdr:col>
                    <xdr:colOff>542925</xdr:colOff>
                    <xdr:row>4</xdr:row>
                    <xdr:rowOff>123825</xdr:rowOff>
                  </from>
                  <to>
                    <xdr:col>8</xdr:col>
                    <xdr:colOff>47625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2"/>
  <sheetViews>
    <sheetView workbookViewId="0">
      <selection activeCell="C12" sqref="C12"/>
    </sheetView>
  </sheetViews>
  <sheetFormatPr defaultRowHeight="13.5" x14ac:dyDescent="0.15"/>
  <cols>
    <col min="1" max="1" width="20.375" style="3" bestFit="1" customWidth="1"/>
    <col min="2" max="2" width="9" style="1"/>
  </cols>
  <sheetData>
    <row r="1" spans="1:2" x14ac:dyDescent="0.15">
      <c r="A1" s="3" t="s">
        <v>2</v>
      </c>
      <c r="B1" s="1" t="s">
        <v>54</v>
      </c>
    </row>
    <row r="2" spans="1:2" x14ac:dyDescent="0.15">
      <c r="A2" s="3" t="s">
        <v>3</v>
      </c>
      <c r="B2" s="1" t="s">
        <v>30</v>
      </c>
    </row>
    <row r="3" spans="1:2" x14ac:dyDescent="0.15">
      <c r="A3" s="3" t="s">
        <v>4</v>
      </c>
      <c r="B3" s="1" t="s">
        <v>55</v>
      </c>
    </row>
    <row r="4" spans="1:2" x14ac:dyDescent="0.15">
      <c r="A4" s="3" t="s">
        <v>5</v>
      </c>
      <c r="B4" s="1" t="s">
        <v>34</v>
      </c>
    </row>
    <row r="5" spans="1:2" x14ac:dyDescent="0.15">
      <c r="A5" s="3" t="s">
        <v>6</v>
      </c>
      <c r="B5" s="1" t="s">
        <v>56</v>
      </c>
    </row>
    <row r="6" spans="1:2" x14ac:dyDescent="0.15">
      <c r="A6" s="3" t="s">
        <v>48</v>
      </c>
      <c r="B6" s="1" t="s">
        <v>57</v>
      </c>
    </row>
    <row r="7" spans="1:2" x14ac:dyDescent="0.15">
      <c r="A7" s="3" t="s">
        <v>58</v>
      </c>
      <c r="B7" s="1" t="s">
        <v>35</v>
      </c>
    </row>
    <row r="8" spans="1:2" x14ac:dyDescent="0.15">
      <c r="A8" s="3" t="s">
        <v>7</v>
      </c>
      <c r="B8" s="1" t="s">
        <v>59</v>
      </c>
    </row>
    <row r="9" spans="1:2" x14ac:dyDescent="0.15">
      <c r="A9" s="3" t="s">
        <v>60</v>
      </c>
      <c r="B9" s="1" t="s">
        <v>36</v>
      </c>
    </row>
    <row r="10" spans="1:2" x14ac:dyDescent="0.15">
      <c r="A10" s="3" t="s">
        <v>61</v>
      </c>
      <c r="B10" s="1" t="s">
        <v>37</v>
      </c>
    </row>
    <row r="11" spans="1:2" x14ac:dyDescent="0.15">
      <c r="A11" s="3" t="s">
        <v>8</v>
      </c>
      <c r="B11" s="1" t="s">
        <v>133</v>
      </c>
    </row>
    <row r="12" spans="1:2" x14ac:dyDescent="0.15">
      <c r="A12" s="3" t="s">
        <v>9</v>
      </c>
      <c r="B12" s="1" t="s">
        <v>38</v>
      </c>
    </row>
    <row r="13" spans="1:2" x14ac:dyDescent="0.15">
      <c r="A13" s="3" t="s">
        <v>10</v>
      </c>
      <c r="B13" s="1" t="s">
        <v>39</v>
      </c>
    </row>
    <row r="14" spans="1:2" x14ac:dyDescent="0.15">
      <c r="A14" s="3" t="s">
        <v>11</v>
      </c>
      <c r="B14" s="1" t="s">
        <v>34</v>
      </c>
    </row>
    <row r="15" spans="1:2" x14ac:dyDescent="0.15">
      <c r="A15" s="3" t="s">
        <v>12</v>
      </c>
      <c r="B15" s="1" t="s">
        <v>41</v>
      </c>
    </row>
    <row r="16" spans="1:2" x14ac:dyDescent="0.15">
      <c r="A16" s="3" t="s">
        <v>13</v>
      </c>
      <c r="B16" s="1" t="s">
        <v>41</v>
      </c>
    </row>
    <row r="17" spans="1:2" x14ac:dyDescent="0.15">
      <c r="A17" s="3" t="s">
        <v>14</v>
      </c>
      <c r="B17" s="1" t="s">
        <v>41</v>
      </c>
    </row>
    <row r="18" spans="1:2" x14ac:dyDescent="0.15">
      <c r="A18" s="3" t="s">
        <v>15</v>
      </c>
      <c r="B18" s="1" t="s">
        <v>42</v>
      </c>
    </row>
    <row r="19" spans="1:2" x14ac:dyDescent="0.15">
      <c r="A19" s="3" t="s">
        <v>16</v>
      </c>
      <c r="B19" s="1" t="s">
        <v>37</v>
      </c>
    </row>
    <row r="20" spans="1:2" x14ac:dyDescent="0.15">
      <c r="A20" s="3" t="s">
        <v>17</v>
      </c>
      <c r="B20" s="1" t="s">
        <v>40</v>
      </c>
    </row>
    <row r="21" spans="1:2" x14ac:dyDescent="0.15">
      <c r="A21" s="3" t="s">
        <v>18</v>
      </c>
      <c r="B21" s="1" t="s">
        <v>43</v>
      </c>
    </row>
    <row r="22" spans="1:2" x14ac:dyDescent="0.15">
      <c r="A22" s="3" t="s">
        <v>33</v>
      </c>
      <c r="B22" s="1" t="s">
        <v>62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"/>
  <sheetViews>
    <sheetView workbookViewId="0">
      <selection activeCell="E2" sqref="E2"/>
    </sheetView>
  </sheetViews>
  <sheetFormatPr defaultRowHeight="13.5" x14ac:dyDescent="0.15"/>
  <cols>
    <col min="1" max="1" width="8.125" customWidth="1"/>
    <col min="2" max="2" width="9.375" bestFit="1" customWidth="1"/>
    <col min="3" max="3" width="11.75" bestFit="1" customWidth="1"/>
    <col min="4" max="4" width="8.625" bestFit="1" customWidth="1"/>
    <col min="5" max="5" width="11.75" bestFit="1" customWidth="1"/>
  </cols>
  <sheetData>
    <row r="1" spans="1:5" x14ac:dyDescent="0.15">
      <c r="A1" t="s">
        <v>128</v>
      </c>
      <c r="B1" t="s">
        <v>51</v>
      </c>
      <c r="C1" t="s">
        <v>49</v>
      </c>
      <c r="D1" t="s">
        <v>50</v>
      </c>
      <c r="E1" t="s">
        <v>129</v>
      </c>
    </row>
    <row r="2" spans="1:5" x14ac:dyDescent="0.15">
      <c r="A2" t="s">
        <v>52</v>
      </c>
      <c r="B2" t="str">
        <f>$A2&amp;"_"&amp;B$1</f>
        <v>stg_config</v>
      </c>
      <c r="C2" s="3" t="str">
        <f t="shared" ref="C2:E3" si="0">$A2&amp;"_"&amp;C$1</f>
        <v>stg_schedule</v>
      </c>
      <c r="D2" s="3" t="str">
        <f t="shared" si="0"/>
        <v>stg_place</v>
      </c>
      <c r="E2" s="3" t="str">
        <f t="shared" si="0"/>
        <v>stg_table</v>
      </c>
    </row>
    <row r="3" spans="1:5" x14ac:dyDescent="0.15">
      <c r="A3" t="s">
        <v>53</v>
      </c>
      <c r="B3" s="3" t="str">
        <f>$A3&amp;"_"&amp;B$1</f>
        <v>sp_config</v>
      </c>
      <c r="C3" s="3" t="str">
        <f t="shared" si="0"/>
        <v>sp_schedule</v>
      </c>
      <c r="D3" s="3" t="str">
        <f t="shared" si="0"/>
        <v>sp_place</v>
      </c>
      <c r="E3" s="3" t="str">
        <f t="shared" si="0"/>
        <v>sp_table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"/>
  <sheetViews>
    <sheetView workbookViewId="0">
      <selection activeCell="C24" sqref="C24"/>
    </sheetView>
  </sheetViews>
  <sheetFormatPr defaultRowHeight="13.5" x14ac:dyDescent="0.15"/>
  <cols>
    <col min="1" max="1" width="3.5" bestFit="1" customWidth="1"/>
    <col min="2" max="2" width="14" bestFit="1" customWidth="1"/>
    <col min="3" max="3" width="7.625" style="3" bestFit="1" customWidth="1"/>
    <col min="4" max="4" width="10.25" style="1" bestFit="1" customWidth="1"/>
    <col min="5" max="5" width="9.125" style="1" bestFit="1" customWidth="1"/>
    <col min="6" max="6" width="8.375" style="1" bestFit="1" customWidth="1"/>
    <col min="7" max="7" width="10" style="1" bestFit="1" customWidth="1"/>
    <col min="8" max="8" width="12.875" style="1" bestFit="1" customWidth="1"/>
    <col min="9" max="9" width="11.625" style="1" bestFit="1" customWidth="1"/>
    <col min="10" max="10" width="10.875" bestFit="1" customWidth="1"/>
  </cols>
  <sheetData>
    <row r="1" spans="1:10" x14ac:dyDescent="0.15">
      <c r="A1" t="s">
        <v>63</v>
      </c>
      <c r="B1" t="s">
        <v>19</v>
      </c>
      <c r="C1" s="3" t="s">
        <v>20</v>
      </c>
      <c r="D1" s="1" t="s">
        <v>64</v>
      </c>
      <c r="E1" s="1" t="s">
        <v>21</v>
      </c>
      <c r="F1" s="1" t="s">
        <v>22</v>
      </c>
      <c r="G1" s="1" t="s">
        <v>65</v>
      </c>
      <c r="H1" s="1" t="s">
        <v>66</v>
      </c>
      <c r="I1" s="1" t="s">
        <v>44</v>
      </c>
      <c r="J1" t="s">
        <v>45</v>
      </c>
    </row>
    <row r="2" spans="1:10" x14ac:dyDescent="0.15">
      <c r="A2">
        <v>1</v>
      </c>
      <c r="B2" t="s">
        <v>68</v>
      </c>
      <c r="C2" s="3" t="s">
        <v>125</v>
      </c>
      <c r="D2" s="1" t="s">
        <v>81</v>
      </c>
      <c r="E2" s="1" t="s">
        <v>85</v>
      </c>
      <c r="F2" s="1" t="s">
        <v>87</v>
      </c>
      <c r="G2" s="1" t="s">
        <v>108</v>
      </c>
      <c r="H2" s="1" t="s">
        <v>106</v>
      </c>
      <c r="I2" s="1" t="s">
        <v>85</v>
      </c>
      <c r="J2" s="1" t="s">
        <v>87</v>
      </c>
    </row>
    <row r="3" spans="1:10" x14ac:dyDescent="0.15">
      <c r="A3">
        <v>2</v>
      </c>
      <c r="B3" t="s">
        <v>69</v>
      </c>
      <c r="C3" s="3" t="s">
        <v>126</v>
      </c>
      <c r="D3" s="1" t="s">
        <v>81</v>
      </c>
      <c r="E3" s="1" t="s">
        <v>89</v>
      </c>
      <c r="F3" s="1" t="s">
        <v>91</v>
      </c>
      <c r="G3" s="1" t="s">
        <v>108</v>
      </c>
      <c r="H3" s="1" t="s">
        <v>83</v>
      </c>
      <c r="I3" s="1" t="s">
        <v>89</v>
      </c>
      <c r="J3" s="1" t="s">
        <v>91</v>
      </c>
    </row>
    <row r="4" spans="1:10" x14ac:dyDescent="0.15">
      <c r="A4" s="3">
        <v>3</v>
      </c>
      <c r="B4" t="s">
        <v>71</v>
      </c>
      <c r="C4" s="3" t="s">
        <v>126</v>
      </c>
      <c r="D4" s="1" t="s">
        <v>81</v>
      </c>
      <c r="E4" s="1" t="s">
        <v>93</v>
      </c>
      <c r="F4" s="1" t="s">
        <v>95</v>
      </c>
      <c r="G4" s="1" t="s">
        <v>108</v>
      </c>
      <c r="H4" s="1" t="s">
        <v>84</v>
      </c>
      <c r="I4" s="1" t="s">
        <v>93</v>
      </c>
      <c r="J4" s="1" t="s">
        <v>95</v>
      </c>
    </row>
    <row r="5" spans="1:10" x14ac:dyDescent="0.15">
      <c r="A5" s="3">
        <v>4</v>
      </c>
      <c r="B5" t="s">
        <v>73</v>
      </c>
      <c r="C5" s="3" t="s">
        <v>111</v>
      </c>
      <c r="D5" s="1" t="s">
        <v>81</v>
      </c>
      <c r="E5" s="1" t="s">
        <v>85</v>
      </c>
      <c r="F5" s="1" t="s">
        <v>87</v>
      </c>
      <c r="G5" s="1" t="s">
        <v>110</v>
      </c>
      <c r="H5" s="1" t="s">
        <v>107</v>
      </c>
      <c r="I5" s="1" t="s">
        <v>85</v>
      </c>
      <c r="J5" s="1" t="s">
        <v>87</v>
      </c>
    </row>
    <row r="6" spans="1:10" x14ac:dyDescent="0.15">
      <c r="A6" s="3">
        <v>5</v>
      </c>
      <c r="B6" t="s">
        <v>74</v>
      </c>
      <c r="C6" s="3" t="s">
        <v>111</v>
      </c>
      <c r="D6" s="1" t="s">
        <v>81</v>
      </c>
      <c r="E6" s="1" t="s">
        <v>93</v>
      </c>
      <c r="F6" s="1" t="s">
        <v>95</v>
      </c>
      <c r="G6" s="1" t="s">
        <v>110</v>
      </c>
      <c r="H6" s="1" t="s">
        <v>81</v>
      </c>
      <c r="I6" s="1" t="s">
        <v>93</v>
      </c>
      <c r="J6" s="1" t="s">
        <v>95</v>
      </c>
    </row>
    <row r="7" spans="1:10" x14ac:dyDescent="0.15">
      <c r="A7" s="3">
        <v>6</v>
      </c>
      <c r="B7" t="s">
        <v>76</v>
      </c>
      <c r="C7" s="3" t="s">
        <v>115</v>
      </c>
      <c r="D7" s="1" t="s">
        <v>81</v>
      </c>
      <c r="E7" s="1" t="s">
        <v>96</v>
      </c>
      <c r="F7" s="1" t="s">
        <v>98</v>
      </c>
      <c r="G7" s="1" t="s">
        <v>114</v>
      </c>
      <c r="H7" s="1" t="s">
        <v>83</v>
      </c>
      <c r="I7" s="1" t="s">
        <v>96</v>
      </c>
      <c r="J7" s="1" t="s">
        <v>98</v>
      </c>
    </row>
    <row r="8" spans="1:10" x14ac:dyDescent="0.15">
      <c r="A8" s="3">
        <v>7</v>
      </c>
      <c r="B8" t="s">
        <v>77</v>
      </c>
      <c r="C8" s="3" t="s">
        <v>117</v>
      </c>
      <c r="D8" s="1" t="s">
        <v>81</v>
      </c>
      <c r="E8" s="1" t="s">
        <v>100</v>
      </c>
      <c r="F8" s="1" t="s">
        <v>102</v>
      </c>
      <c r="G8" s="1" t="s">
        <v>116</v>
      </c>
      <c r="H8" s="1" t="s">
        <v>84</v>
      </c>
      <c r="I8" s="1" t="s">
        <v>100</v>
      </c>
      <c r="J8" s="1" t="s">
        <v>102</v>
      </c>
    </row>
    <row r="9" spans="1:10" x14ac:dyDescent="0.15">
      <c r="A9" s="3">
        <v>8</v>
      </c>
      <c r="B9" t="s">
        <v>79</v>
      </c>
      <c r="C9" s="3" t="s">
        <v>127</v>
      </c>
      <c r="D9" s="1" t="s">
        <v>81</v>
      </c>
      <c r="E9" s="1" t="s">
        <v>103</v>
      </c>
      <c r="F9" s="1" t="s">
        <v>105</v>
      </c>
      <c r="G9" s="1" t="s">
        <v>116</v>
      </c>
      <c r="H9" s="1" t="s">
        <v>107</v>
      </c>
      <c r="I9" s="1" t="s">
        <v>103</v>
      </c>
      <c r="J9" s="1" t="s">
        <v>105</v>
      </c>
    </row>
    <row r="10" spans="1:10" x14ac:dyDescent="0.15">
      <c r="A10" s="3"/>
    </row>
    <row r="11" spans="1:10" x14ac:dyDescent="0.15">
      <c r="A11" s="3"/>
    </row>
  </sheetData>
  <sortState ref="A2:F119">
    <sortCondition ref="B1"/>
  </sortState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"/>
  <sheetViews>
    <sheetView workbookViewId="0">
      <selection activeCell="B27" sqref="B27"/>
    </sheetView>
  </sheetViews>
  <sheetFormatPr defaultRowHeight="13.5" x14ac:dyDescent="0.15"/>
  <cols>
    <col min="1" max="1" width="10.5"/>
    <col min="2" max="2" width="14.25" bestFit="1" customWidth="1"/>
    <col min="3" max="3" width="10.5" style="2" bestFit="1" customWidth="1"/>
    <col min="4" max="7" width="9.875" customWidth="1"/>
  </cols>
  <sheetData>
    <row r="1" spans="1:7" x14ac:dyDescent="0.15">
      <c r="A1" s="3" t="s">
        <v>32</v>
      </c>
      <c r="B1" s="3" t="s">
        <v>23</v>
      </c>
      <c r="C1" s="3" t="s">
        <v>28</v>
      </c>
      <c r="D1" s="3" t="s">
        <v>24</v>
      </c>
      <c r="E1" t="s">
        <v>25</v>
      </c>
      <c r="F1" t="s">
        <v>26</v>
      </c>
      <c r="G1" t="s">
        <v>27</v>
      </c>
    </row>
    <row r="2" spans="1:7" x14ac:dyDescent="0.15">
      <c r="A2" s="3" t="s">
        <v>109</v>
      </c>
      <c r="B2" s="3" t="s">
        <v>112</v>
      </c>
      <c r="C2" s="3" t="s">
        <v>118</v>
      </c>
      <c r="D2" s="4" t="s">
        <v>31</v>
      </c>
      <c r="E2">
        <f>ROUNDDOWN(HEX2DEC(RIGHT($D2,6))/65536,0)</f>
        <v>255</v>
      </c>
      <c r="F2">
        <f>((HEX2DEC(RIGHT($D2,6))-G2-E2*65536)/256)</f>
        <v>0</v>
      </c>
      <c r="G2">
        <f>MOD(HEX2DEC(RIGHT($D2,6)),256)</f>
        <v>0</v>
      </c>
    </row>
    <row r="3" spans="1:7" x14ac:dyDescent="0.15">
      <c r="A3" s="3" t="s">
        <v>111</v>
      </c>
      <c r="B3" s="3" t="s">
        <v>113</v>
      </c>
      <c r="C3" s="3" t="s">
        <v>119</v>
      </c>
      <c r="D3" s="3" t="s">
        <v>122</v>
      </c>
      <c r="E3" s="3">
        <f t="shared" ref="E3:E5" si="0">ROUNDDOWN(HEX2DEC(RIGHT($D3,6))/65536,0)</f>
        <v>0</v>
      </c>
      <c r="F3" s="3">
        <f t="shared" ref="F3:F5" si="1">((HEX2DEC(RIGHT($D3,6))-G3-E3*65536)/256)</f>
        <v>255</v>
      </c>
      <c r="G3" s="3">
        <f t="shared" ref="G3:G5" si="2">MOD(HEX2DEC(RIGHT($D3,6)),256)</f>
        <v>0</v>
      </c>
    </row>
    <row r="4" spans="1:7" x14ac:dyDescent="0.15">
      <c r="A4" s="3" t="s">
        <v>115</v>
      </c>
      <c r="B4" s="3" t="s">
        <v>115</v>
      </c>
      <c r="C4" s="3" t="s">
        <v>120</v>
      </c>
      <c r="D4" s="3" t="s">
        <v>123</v>
      </c>
      <c r="E4" s="3">
        <f t="shared" si="0"/>
        <v>0</v>
      </c>
      <c r="F4" s="3">
        <f t="shared" si="1"/>
        <v>0</v>
      </c>
      <c r="G4" s="3">
        <f t="shared" si="2"/>
        <v>255</v>
      </c>
    </row>
    <row r="5" spans="1:7" x14ac:dyDescent="0.15">
      <c r="A5" s="3" t="s">
        <v>117</v>
      </c>
      <c r="B5" s="3" t="s">
        <v>117</v>
      </c>
      <c r="C5" s="3" t="s">
        <v>121</v>
      </c>
      <c r="D5" s="3" t="s">
        <v>124</v>
      </c>
      <c r="E5" s="3">
        <f t="shared" si="0"/>
        <v>0</v>
      </c>
      <c r="F5" s="3">
        <f t="shared" si="1"/>
        <v>255</v>
      </c>
      <c r="G5" s="3">
        <f t="shared" si="2"/>
        <v>255</v>
      </c>
    </row>
    <row r="6" spans="1:7" x14ac:dyDescent="0.15">
      <c r="A6" s="3"/>
      <c r="B6" s="3"/>
      <c r="C6" s="3"/>
      <c r="D6" s="3"/>
      <c r="E6" s="3"/>
      <c r="F6" s="3"/>
      <c r="G6" s="3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"/>
  <sheetViews>
    <sheetView workbookViewId="0">
      <selection activeCell="C15" sqref="C15"/>
    </sheetView>
  </sheetViews>
  <sheetFormatPr defaultRowHeight="13.5" x14ac:dyDescent="0.15"/>
  <sheetData>
    <row r="1" spans="1:7" x14ac:dyDescent="0.15">
      <c r="A1" s="3" t="s">
        <v>32</v>
      </c>
      <c r="B1" s="3" t="s">
        <v>23</v>
      </c>
      <c r="C1" s="3" t="s">
        <v>28</v>
      </c>
      <c r="D1" s="3" t="s">
        <v>24</v>
      </c>
      <c r="E1" s="3" t="s">
        <v>25</v>
      </c>
      <c r="F1" s="3" t="s">
        <v>26</v>
      </c>
      <c r="G1" s="3" t="s">
        <v>27</v>
      </c>
    </row>
    <row r="2" spans="1:7" x14ac:dyDescent="0.15">
      <c r="A2" s="3" t="s">
        <v>109</v>
      </c>
      <c r="B2" s="3" t="s">
        <v>112</v>
      </c>
      <c r="C2" s="3" t="s">
        <v>118</v>
      </c>
      <c r="D2" s="4" t="s">
        <v>31</v>
      </c>
      <c r="E2" s="3">
        <f>ROUNDDOWN(HEX2DEC(RIGHT($D2,6))/65536,0)</f>
        <v>255</v>
      </c>
      <c r="F2" s="3">
        <f>((HEX2DEC(RIGHT($D2,6))-G2-E2*65536)/256)</f>
        <v>0</v>
      </c>
      <c r="G2" s="3">
        <f>MOD(HEX2DEC(RIGHT($D2,6)),256)</f>
        <v>0</v>
      </c>
    </row>
    <row r="3" spans="1:7" x14ac:dyDescent="0.15">
      <c r="A3" s="3" t="s">
        <v>111</v>
      </c>
      <c r="B3" s="3" t="s">
        <v>113</v>
      </c>
      <c r="C3" s="3" t="s">
        <v>119</v>
      </c>
      <c r="D3" s="3" t="s">
        <v>122</v>
      </c>
      <c r="E3" s="3">
        <f t="shared" ref="E3:E5" si="0">ROUNDDOWN(HEX2DEC(RIGHT($D3,6))/65536,0)</f>
        <v>0</v>
      </c>
      <c r="F3" s="3">
        <f t="shared" ref="F3:F5" si="1">((HEX2DEC(RIGHT($D3,6))-G3-E3*65536)/256)</f>
        <v>255</v>
      </c>
      <c r="G3" s="3">
        <f t="shared" ref="G3:G5" si="2">MOD(HEX2DEC(RIGHT($D3,6)),256)</f>
        <v>0</v>
      </c>
    </row>
    <row r="4" spans="1:7" x14ac:dyDescent="0.15">
      <c r="A4" s="3" t="s">
        <v>115</v>
      </c>
      <c r="B4" s="3" t="s">
        <v>115</v>
      </c>
      <c r="C4" s="3" t="s">
        <v>120</v>
      </c>
      <c r="D4" s="3" t="s">
        <v>123</v>
      </c>
      <c r="E4" s="3">
        <f t="shared" si="0"/>
        <v>0</v>
      </c>
      <c r="F4" s="3">
        <f t="shared" si="1"/>
        <v>0</v>
      </c>
      <c r="G4" s="3">
        <f t="shared" si="2"/>
        <v>255</v>
      </c>
    </row>
    <row r="5" spans="1:7" x14ac:dyDescent="0.15">
      <c r="A5" s="3" t="s">
        <v>117</v>
      </c>
      <c r="B5" s="3" t="s">
        <v>117</v>
      </c>
      <c r="C5" s="3" t="s">
        <v>121</v>
      </c>
      <c r="D5" s="3" t="s">
        <v>124</v>
      </c>
      <c r="E5" s="3">
        <f t="shared" si="0"/>
        <v>0</v>
      </c>
      <c r="F5" s="3">
        <f t="shared" si="1"/>
        <v>255</v>
      </c>
      <c r="G5" s="3">
        <f t="shared" si="2"/>
        <v>255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XFD1048576"/>
    </sheetView>
  </sheetViews>
  <sheetFormatPr defaultRowHeight="13.5" x14ac:dyDescent="0.15"/>
  <cols>
    <col min="1" max="16384" width="9" style="1"/>
  </cols>
  <sheetData>
    <row r="1" spans="1:7" x14ac:dyDescent="0.15">
      <c r="A1" s="1" t="s">
        <v>63</v>
      </c>
      <c r="B1" s="1" t="s">
        <v>19</v>
      </c>
      <c r="C1" s="1" t="s">
        <v>20</v>
      </c>
      <c r="D1" s="1" t="s">
        <v>64</v>
      </c>
      <c r="E1" s="1" t="s">
        <v>21</v>
      </c>
      <c r="F1" s="1" t="s">
        <v>22</v>
      </c>
      <c r="G1" s="1" t="s">
        <v>130</v>
      </c>
    </row>
    <row r="2" spans="1:7" x14ac:dyDescent="0.15">
      <c r="A2" s="1">
        <v>1</v>
      </c>
      <c r="B2" s="1" t="s">
        <v>67</v>
      </c>
      <c r="C2" s="1" t="s">
        <v>108</v>
      </c>
      <c r="D2" s="1" t="s">
        <v>80</v>
      </c>
      <c r="E2" s="1" t="s">
        <v>54</v>
      </c>
      <c r="F2" s="1" t="s">
        <v>86</v>
      </c>
    </row>
    <row r="3" spans="1:7" x14ac:dyDescent="0.15">
      <c r="A3" s="1">
        <v>2</v>
      </c>
      <c r="B3" s="1" t="s">
        <v>29</v>
      </c>
      <c r="C3" s="1" t="s">
        <v>108</v>
      </c>
      <c r="D3" s="1" t="s">
        <v>82</v>
      </c>
      <c r="E3" s="1" t="s">
        <v>88</v>
      </c>
      <c r="F3" s="1" t="s">
        <v>90</v>
      </c>
    </row>
    <row r="4" spans="1:7" x14ac:dyDescent="0.15">
      <c r="A4" s="1">
        <v>3</v>
      </c>
      <c r="B4" s="1" t="s">
        <v>70</v>
      </c>
      <c r="C4" s="1" t="s">
        <v>108</v>
      </c>
      <c r="D4" s="1" t="s">
        <v>40</v>
      </c>
      <c r="E4" s="1" t="s">
        <v>92</v>
      </c>
      <c r="F4" s="1" t="s">
        <v>94</v>
      </c>
    </row>
    <row r="5" spans="1:7" x14ac:dyDescent="0.15">
      <c r="A5" s="1">
        <v>4</v>
      </c>
      <c r="B5" s="1" t="s">
        <v>72</v>
      </c>
      <c r="C5" s="1" t="s">
        <v>110</v>
      </c>
      <c r="D5" s="1" t="s">
        <v>37</v>
      </c>
      <c r="E5" s="1" t="s">
        <v>54</v>
      </c>
      <c r="F5" s="1" t="s">
        <v>86</v>
      </c>
    </row>
    <row r="6" spans="1:7" x14ac:dyDescent="0.15">
      <c r="A6" s="1">
        <v>5</v>
      </c>
      <c r="B6" s="1" t="s">
        <v>1</v>
      </c>
      <c r="C6" s="1" t="s">
        <v>110</v>
      </c>
      <c r="D6" s="1" t="s">
        <v>80</v>
      </c>
      <c r="E6" s="1" t="s">
        <v>92</v>
      </c>
      <c r="F6" s="1" t="s">
        <v>94</v>
      </c>
    </row>
    <row r="7" spans="1:7" x14ac:dyDescent="0.15">
      <c r="A7" s="1">
        <v>6</v>
      </c>
      <c r="B7" s="1" t="s">
        <v>75</v>
      </c>
      <c r="C7" s="1" t="s">
        <v>114</v>
      </c>
      <c r="D7" s="1" t="s">
        <v>82</v>
      </c>
      <c r="E7" s="1" t="s">
        <v>46</v>
      </c>
      <c r="F7" s="1" t="s">
        <v>97</v>
      </c>
    </row>
    <row r="8" spans="1:7" x14ac:dyDescent="0.15">
      <c r="A8" s="1">
        <v>7</v>
      </c>
      <c r="B8" s="1" t="s">
        <v>0</v>
      </c>
      <c r="C8" s="1" t="s">
        <v>116</v>
      </c>
      <c r="D8" s="1" t="s">
        <v>40</v>
      </c>
      <c r="E8" s="1" t="s">
        <v>99</v>
      </c>
      <c r="F8" s="1" t="s">
        <v>101</v>
      </c>
    </row>
    <row r="9" spans="1:7" x14ac:dyDescent="0.15">
      <c r="A9" s="1">
        <v>8</v>
      </c>
      <c r="B9" s="1" t="s">
        <v>78</v>
      </c>
      <c r="C9" s="1" t="s">
        <v>116</v>
      </c>
      <c r="D9" s="1" t="s">
        <v>37</v>
      </c>
      <c r="E9" s="1" t="s">
        <v>47</v>
      </c>
      <c r="F9" s="1" t="s">
        <v>104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70" workbookViewId="0"/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stg_config</vt:lpstr>
      <vt:lpstr>sp_config</vt:lpstr>
      <vt:lpstr>maketbl</vt:lpstr>
      <vt:lpstr>stg_schedule</vt:lpstr>
      <vt:lpstr>stg_place</vt:lpstr>
      <vt:lpstr>sp_place</vt:lpstr>
      <vt:lpstr>sp_schedule</vt:lpstr>
      <vt:lpstr>stg_table</vt:lpstr>
      <vt:lpstr>sp_table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ああ</dc:creator>
  <cp:lastModifiedBy>ああ</cp:lastModifiedBy>
  <cp:lastPrinted>2024-09-28T07:19:45Z</cp:lastPrinted>
  <dcterms:created xsi:type="dcterms:W3CDTF">2024-08-20T14:21:49Z</dcterms:created>
  <dcterms:modified xsi:type="dcterms:W3CDTF">2025-02-03T15:36:05Z</dcterms:modified>
</cp:coreProperties>
</file>